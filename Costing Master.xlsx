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Feasibility Fields" sheetId="2" r:id="rId6"/>
    <sheet state="visible" name="Sheet7" sheetId="3" r:id="rId7"/>
    <sheet state="visible" name="MISC Alok" sheetId="4" r:id="rId8"/>
    <sheet state="visible" name="Calculator Inhouse" sheetId="5" r:id="rId9"/>
    <sheet state="visible" name="Flow Chart" sheetId="6" r:id="rId10"/>
    <sheet state="visible" name="Calculator BO" sheetId="7" r:id="rId11"/>
  </sheets>
  <definedNames/>
  <calcPr/>
</workbook>
</file>

<file path=xl/sharedStrings.xml><?xml version="1.0" encoding="utf-8"?>
<sst xmlns="http://schemas.openxmlformats.org/spreadsheetml/2006/main" count="507" uniqueCount="325">
  <si>
    <t xml:space="preserve">Costing dependent on </t>
  </si>
  <si>
    <t xml:space="preserve">Grade </t>
  </si>
  <si>
    <t>If I don't have a ready piece - I go by Block Weight Logic</t>
  </si>
  <si>
    <t xml:space="preserve">Actual Presing Weight </t>
  </si>
  <si>
    <t>If the quantity is huge - I go by Die Weight Logic</t>
  </si>
  <si>
    <t>Total Weight</t>
  </si>
  <si>
    <t>tool is 100 x 100 and ppl need 75 x 75</t>
  </si>
  <si>
    <t xml:space="preserve">Direct Weight </t>
  </si>
  <si>
    <t>then my block weight is 100 x 100</t>
  </si>
  <si>
    <t>product weight is 75 x 75</t>
  </si>
  <si>
    <t>Block Wt</t>
  </si>
  <si>
    <t>if I can make a tool of 75 x 75 - then I will have my block weight = product weight but after the prodct is made there might be 2-3 gm change in the theoretical product weight and actual product weight</t>
  </si>
  <si>
    <t>This actual weight is called pressing weight</t>
  </si>
  <si>
    <t>Direct Wt</t>
  </si>
  <si>
    <t>If the product is wierd in its shape then the theoretical rectangle or square formed will be considered as block weight. Same applies to cylinders, cones, hollow cylinders etc. also</t>
  </si>
  <si>
    <t xml:space="preserve">Loss Weight </t>
  </si>
  <si>
    <t>UOM</t>
  </si>
  <si>
    <t>Types of Weight</t>
  </si>
  <si>
    <t>in gms</t>
  </si>
  <si>
    <t>Block Weight</t>
  </si>
  <si>
    <t>Theoretical or Actual Square or Rectangle inside which piece is made</t>
  </si>
  <si>
    <t>Product Weight/ Direct Weight/ Theoretical Weight</t>
  </si>
  <si>
    <t>Weight of the Product Cast from the Block Weight or Weight from Autocad</t>
  </si>
  <si>
    <t>Pressing Weight</t>
  </si>
  <si>
    <t>Actual During Pressing Time Weight</t>
  </si>
  <si>
    <t>Qty x any of the above weight - mostly it is Block Weight</t>
  </si>
  <si>
    <t>in kgs</t>
  </si>
  <si>
    <t>Loss Weight</t>
  </si>
  <si>
    <t>Loss Weight = Block Weight - Weight Used - Recycled Weight (Evaporates)</t>
  </si>
  <si>
    <t>Loss Weight = (Block Weight - Product Weight or Pressing Weight)*15%</t>
  </si>
  <si>
    <t>give option to change 15% to any range from 10% to 20% - in costing calculator</t>
  </si>
  <si>
    <t>Dimension</t>
  </si>
  <si>
    <t>10 mm</t>
  </si>
  <si>
    <t>Min</t>
  </si>
  <si>
    <t>Max</t>
  </si>
  <si>
    <t>CHP Sintered</t>
  </si>
  <si>
    <t>YEPL Sintered</t>
  </si>
  <si>
    <t>Gauges Sintered</t>
  </si>
  <si>
    <t>Three Types of Tools</t>
  </si>
  <si>
    <t>VSI Sintered</t>
  </si>
  <si>
    <t>Type 1</t>
  </si>
  <si>
    <t>Perfect Tool</t>
  </si>
  <si>
    <t>Pressing Weight + Loss Weight</t>
  </si>
  <si>
    <t>Loss Weight = 0</t>
  </si>
  <si>
    <t>Type 2</t>
  </si>
  <si>
    <t>Block Tool</t>
  </si>
  <si>
    <t>Theoretical Weight + Loss Weight</t>
  </si>
  <si>
    <t>Loss Weight = Block Weight - Theoretical Weight</t>
  </si>
  <si>
    <t>Type 3</t>
  </si>
  <si>
    <t>Big Tool</t>
  </si>
  <si>
    <t>Loss Weight = Pressed Weight- Theoretical Weight</t>
  </si>
  <si>
    <t>How to Derive Total Weight</t>
  </si>
  <si>
    <t>If Dedicated Tool is available then take old Pressing Weight from history</t>
  </si>
  <si>
    <t xml:space="preserve">If Dedicated Tool is not available but we plan to make from a Bigger Tool then take Theoretical Wt + Loss WT </t>
  </si>
  <si>
    <t>If Tool is to be developed - then take the Theoretical Weight + Loss Wt</t>
  </si>
  <si>
    <t>If Tool is not to be made, then take Theoretical Weight + loss Weight but consider Pressing Weight for Loss Weight</t>
  </si>
  <si>
    <t>If None of the above - then take Theoretical Weight + Loss Weight</t>
  </si>
  <si>
    <t>If Product is made before then take Pressing Weight  to calculate Loss Weight</t>
  </si>
  <si>
    <t>If Product is not made before then take Product Weight to calculate Loss Weight</t>
  </si>
  <si>
    <r>
      <rPr>
        <rFont val="Arial"/>
        <b/>
        <color theme="1"/>
      </rPr>
      <t xml:space="preserve">Ratio </t>
    </r>
    <r>
      <rPr>
        <rFont val="Arial"/>
        <color theme="1"/>
      </rPr>
      <t>: It is Rs/ Gm that is to be charged</t>
    </r>
  </si>
  <si>
    <t xml:space="preserve">Ratio is RM Cost + VA Cost till sintering </t>
  </si>
  <si>
    <t xml:space="preserve">At times it is Pure Numbers or % </t>
  </si>
  <si>
    <t xml:space="preserve">Eg. If Rm = 17000/Kg then we can  consinder VA anywhere between 2000 to 5000 / Kg or say it is 20 to 30% of RM Price </t>
  </si>
  <si>
    <t>VA = Rs. 2000 per kg or x% of RM Cost whichever is higher. x% will be any range from 20% to 40% - manual insert any value between 20% and 40%</t>
  </si>
  <si>
    <t>So, if RM becomes 8000 Rs. per kg tomm - Value Addition will be Rs. 2000/kg</t>
  </si>
  <si>
    <t>If RM becomes 21000 Rs. per kg tomm - Value Addition will be Rs. 21000 x 20% = Rs. 4200/kg</t>
  </si>
  <si>
    <t>Sintered Price is always calculated if piece is manufactured. It is not taken when it comes to Bought Out or Traded Items</t>
  </si>
  <si>
    <t>Tolerance</t>
  </si>
  <si>
    <t>Sr no.</t>
  </si>
  <si>
    <t>Costing dt</t>
  </si>
  <si>
    <t>SM No</t>
  </si>
  <si>
    <t>Rev no</t>
  </si>
  <si>
    <t>Item description</t>
  </si>
  <si>
    <t>F</t>
  </si>
  <si>
    <t>Customer drg no</t>
  </si>
  <si>
    <t>YEPL drg no</t>
  </si>
  <si>
    <t>Grade</t>
  </si>
  <si>
    <t>Internal Grade that we propose to offer</t>
  </si>
  <si>
    <t>Condition</t>
  </si>
  <si>
    <t>Sintered / Finished/ Tumbles/One Side clean etc ( comes from Condition Master )</t>
  </si>
  <si>
    <t>Comes from Master</t>
  </si>
  <si>
    <t>Delivery time</t>
  </si>
  <si>
    <t>RM</t>
  </si>
  <si>
    <r>
      <rPr>
        <rFont val="Calibri, sans-serif"/>
        <color rgb="FF000000"/>
        <sz val="11.0"/>
      </rPr>
      <t xml:space="preserve">This is RM price </t>
    </r>
    <r>
      <rPr>
        <rFont val="Calibri, sans-serif"/>
        <color rgb="FFFF0000"/>
        <sz val="11.0"/>
      </rPr>
      <t xml:space="preserve">Need to Discuss with Mana Sir </t>
    </r>
  </si>
  <si>
    <t>VA</t>
  </si>
  <si>
    <r>
      <rPr>
        <rFont val="Calibri, sans-serif"/>
        <color rgb="FF000000"/>
        <sz val="11.0"/>
      </rPr>
      <t xml:space="preserve">This is Valueaddition  price </t>
    </r>
    <r>
      <rPr>
        <rFont val="Calibri, sans-serif"/>
        <color rgb="FFFF0000"/>
        <sz val="11.0"/>
      </rPr>
      <t xml:space="preserve">Need to Discuss with Mana Sir </t>
    </r>
  </si>
  <si>
    <t>Costing Logic</t>
  </si>
  <si>
    <t>Finished</t>
  </si>
  <si>
    <t>OD</t>
  </si>
  <si>
    <t>Comes from enquery / Prroduct master</t>
  </si>
  <si>
    <t>ID</t>
  </si>
  <si>
    <t>Ht</t>
  </si>
  <si>
    <t>To be calculated based on Tolerence type</t>
  </si>
  <si>
    <t>Sintered</t>
  </si>
  <si>
    <t>Green</t>
  </si>
  <si>
    <t>To be calculated based on Tolerence type amd Grade</t>
  </si>
  <si>
    <t>Block WT</t>
  </si>
  <si>
    <t>Direct WT</t>
  </si>
  <si>
    <t>Qty</t>
  </si>
  <si>
    <t>Total</t>
  </si>
  <si>
    <t>WT</t>
  </si>
  <si>
    <t>Old SM QTY</t>
  </si>
  <si>
    <t>Die</t>
  </si>
  <si>
    <t>Punch</t>
  </si>
  <si>
    <t>Pressing Wt</t>
  </si>
  <si>
    <t>Remark</t>
  </si>
  <si>
    <t>Wall-thickness</t>
  </si>
  <si>
    <t>Forming Time</t>
  </si>
  <si>
    <t>Grinding Time</t>
  </si>
  <si>
    <t>Vendor AK Tooling Cost</t>
  </si>
  <si>
    <t>Loss Powder</t>
  </si>
  <si>
    <t>Recovery Powder</t>
  </si>
  <si>
    <t>Ratio</t>
  </si>
  <si>
    <t>Sintered Price</t>
  </si>
  <si>
    <t>Forming Cost</t>
  </si>
  <si>
    <t>Forming tool charges</t>
  </si>
  <si>
    <t>Grinding Cost</t>
  </si>
  <si>
    <t>Vendor Cost
 Mansvi</t>
  </si>
  <si>
    <t>Vendor Cot SKS</t>
  </si>
  <si>
    <t>Vendor Cot Sheetal</t>
  </si>
  <si>
    <t>Vendor Cot Ishit</t>
  </si>
  <si>
    <t>Vendor rates considered</t>
  </si>
  <si>
    <t>Vndor Remarks</t>
  </si>
  <si>
    <t>OH on Vendor</t>
  </si>
  <si>
    <t>Negotiation</t>
  </si>
  <si>
    <t>Offer</t>
  </si>
  <si>
    <t>Euro Rate</t>
  </si>
  <si>
    <t>Vaue</t>
  </si>
  <si>
    <t>Offer in Euro</t>
  </si>
  <si>
    <t>Development charges
 INR</t>
  </si>
  <si>
    <t>Development charges
 Euro</t>
  </si>
  <si>
    <t>Target price</t>
  </si>
  <si>
    <t>Target price ratio</t>
  </si>
  <si>
    <t>% differece</t>
  </si>
  <si>
    <t>For Feasibility following Fiels are needed</t>
  </si>
  <si>
    <t>SN Number</t>
  </si>
  <si>
    <t xml:space="preserve">Client Details </t>
  </si>
  <si>
    <t xml:space="preserve">Weight of Products </t>
  </si>
  <si>
    <t xml:space="preserve">1) Cylinder </t>
  </si>
  <si>
    <t xml:space="preserve">Formula : Volume x Density </t>
  </si>
  <si>
    <t>Unit Of Dimentions is mm and Unit of Density is Gm/cm3</t>
  </si>
  <si>
    <t xml:space="preserve">Volume : 0.785 x ODx OD x L </t>
  </si>
  <si>
    <t xml:space="preserve">Density : Depends on the frade . Lets Condider 15 ( 0.015) </t>
  </si>
  <si>
    <t xml:space="preserve">Od = 15 and L = 20 Then </t>
  </si>
  <si>
    <t>Volume = 0.795X15x15x20 = 3532.5</t>
  </si>
  <si>
    <t>therfore   wt = 3532.5x0.015=52.9 gms</t>
  </si>
  <si>
    <t xml:space="preserve">2) Cuboid ( We call Flats ) </t>
  </si>
  <si>
    <t xml:space="preserve">3) Hollow Cylinder </t>
  </si>
  <si>
    <t xml:space="preserve">Our Manufacturing Process is call Powder Metullergy </t>
  </si>
  <si>
    <t xml:space="preserve">Typical Process Includes </t>
  </si>
  <si>
    <t xml:space="preserve">1) Powder Making </t>
  </si>
  <si>
    <t xml:space="preserve">2) Pressing ( or Compaction) </t>
  </si>
  <si>
    <t xml:space="preserve">3) Presintering </t>
  </si>
  <si>
    <t xml:space="preserve">4) Shaping also Called Forming : Where we give the shape to the products which we were not being able to give during tooling </t>
  </si>
  <si>
    <t xml:space="preserve">5) Sintering ( This is the main Heatreatment Process where the product </t>
  </si>
  <si>
    <t xml:space="preserve">6) Machining  also called Grinding which is uded to achieve better tolerences on the products </t>
  </si>
  <si>
    <t>Case A</t>
  </si>
  <si>
    <t>Case B</t>
  </si>
  <si>
    <t>Case C</t>
  </si>
  <si>
    <t>Case D</t>
  </si>
  <si>
    <t>Tool Cost Open - when to go with Tool Cost and when to go with Block Weight method</t>
  </si>
  <si>
    <t>Press Wt + Loss Wt</t>
  </si>
  <si>
    <t>Theoretical Wt + Loss Wt</t>
  </si>
  <si>
    <t>Block weight threshold qty vs tool cost threshold qty</t>
  </si>
  <si>
    <t>Previous Made</t>
  </si>
  <si>
    <t>Tooling Available</t>
  </si>
  <si>
    <t>Tooling to be Made</t>
  </si>
  <si>
    <t>No Tooling</t>
  </si>
  <si>
    <t>Product Made? Yes or No</t>
  </si>
  <si>
    <t>If yes, Is to Bought Out or Manufactured - give option for costing for both and then compare and decide which costing to send to customer</t>
  </si>
  <si>
    <t>Product Offered? Yes or No</t>
  </si>
  <si>
    <t>Step 1</t>
  </si>
  <si>
    <t>Product made before? Yes or No</t>
  </si>
  <si>
    <t>Yes</t>
  </si>
  <si>
    <t>Step 2</t>
  </si>
  <si>
    <t>Check Tool Type</t>
  </si>
  <si>
    <t>Tool Cost - Select Method 1 or 2</t>
  </si>
  <si>
    <t>Select Method</t>
  </si>
  <si>
    <t>A</t>
  </si>
  <si>
    <t>Method A</t>
  </si>
  <si>
    <t>Flat Cost</t>
  </si>
  <si>
    <t>Method B</t>
  </si>
  <si>
    <t>Cost Per Piece</t>
  </si>
  <si>
    <t>Method 4</t>
  </si>
  <si>
    <t>No Tooling? Theoretical Wt + Loss Wt</t>
  </si>
  <si>
    <t>Step 3</t>
  </si>
  <si>
    <t>Select Method - which weight to take</t>
  </si>
  <si>
    <t>Method 1</t>
  </si>
  <si>
    <t>Block Weight (Mandatory for Loss Weight)</t>
  </si>
  <si>
    <t>Theoretical Weight</t>
  </si>
  <si>
    <t>X</t>
  </si>
  <si>
    <t>in kg</t>
  </si>
  <si>
    <t>Total Weight in gms</t>
  </si>
  <si>
    <t>Total Weight in KG</t>
  </si>
  <si>
    <t>in KG</t>
  </si>
  <si>
    <t>Loss Weight (0% to 20%)</t>
  </si>
  <si>
    <t>RM Price/kg</t>
  </si>
  <si>
    <t>RM Price/gms</t>
  </si>
  <si>
    <t>VA% = 2000 or 20-30% whichever is higher</t>
  </si>
  <si>
    <t>B</t>
  </si>
  <si>
    <t>VA Price/gms</t>
  </si>
  <si>
    <t>C=A+B</t>
  </si>
  <si>
    <t>in GMS</t>
  </si>
  <si>
    <t>Sintered Cost/gms with Shaping/Forming</t>
  </si>
  <si>
    <t>Y= XxC</t>
  </si>
  <si>
    <t>per pc</t>
  </si>
  <si>
    <t>Sintered Price/Piece</t>
  </si>
  <si>
    <t>Step 4</t>
  </si>
  <si>
    <t>Is Shaping/Forming Needed? - Yes or No</t>
  </si>
  <si>
    <t>per min</t>
  </si>
  <si>
    <t>Shaping Rate/Piece</t>
  </si>
  <si>
    <t>Shaping Duration in Mins</t>
  </si>
  <si>
    <t>Shaping Cost/Piece</t>
  </si>
  <si>
    <t>Sintered + Shaping Cost</t>
  </si>
  <si>
    <t>Step 5</t>
  </si>
  <si>
    <t>Is Machining Needed? - Yes or No</t>
  </si>
  <si>
    <t>Step 6</t>
  </si>
  <si>
    <t>Is Machining Internal or External if needed? - Yes or No</t>
  </si>
  <si>
    <t>Internal Machining/min</t>
  </si>
  <si>
    <t>External Machining Vendor 1</t>
  </si>
  <si>
    <t>External Machining Vendor 2</t>
  </si>
  <si>
    <t>External Machining Vendor 3</t>
  </si>
  <si>
    <t>Step 6B</t>
  </si>
  <si>
    <t>Decide Which Vendor to Select</t>
  </si>
  <si>
    <t>Overhead % (15-150%)</t>
  </si>
  <si>
    <t>Cost After Machining</t>
  </si>
  <si>
    <t>Quote Price/piece</t>
  </si>
  <si>
    <t>Quote Value</t>
  </si>
  <si>
    <t>If Block Weight is Empty - there cannot be loss weight</t>
  </si>
  <si>
    <t>If Pressing Weight is Available - there is a chance that there will not be loss weight</t>
  </si>
  <si>
    <t>Loss Weight = (Higher of Block or Pressing Weight - Theoretical Weight)*15%</t>
  </si>
  <si>
    <t>Product Sold Before?</t>
  </si>
  <si>
    <t>---&gt; Yes</t>
  </si>
  <si>
    <t>1.Bought Out</t>
  </si>
  <si>
    <t>--&gt; Send to Bought Out Costing Page</t>
  </si>
  <si>
    <t>|</t>
  </si>
  <si>
    <t>2. Manufactured</t>
  </si>
  <si>
    <t>--&gt; Send to Mfg Costing Page</t>
  </si>
  <si>
    <t>No</t>
  </si>
  <si>
    <t>3. Both</t>
  </si>
  <si>
    <t>--&gt; Send to Both Pages for costing --&gt; Compare at end --&gt; Save both --&gt; Decide which one to send to customer</t>
  </si>
  <si>
    <t>Product Offered Before?</t>
  </si>
  <si>
    <t>Costing Page</t>
  </si>
  <si>
    <t>Data to Show</t>
  </si>
  <si>
    <t>--&gt;</t>
  </si>
  <si>
    <t>Finished Size</t>
  </si>
  <si>
    <t>--&gt; show value / transfer value from Tolerance Calculator or previous input sheet</t>
  </si>
  <si>
    <t>Tolerance Size</t>
  </si>
  <si>
    <t>Sintered Size</t>
  </si>
  <si>
    <t>Green Size</t>
  </si>
  <si>
    <t>Shrinkage</t>
  </si>
  <si>
    <t>Tooling Chart</t>
  </si>
  <si>
    <t>--&gt; Show Drop Down to select Tooling Chart -- &gt; Go to Select Tool Type</t>
  </si>
  <si>
    <t>if not seen in Drop Down - give option to add new tool = New Tool to be Developed</t>
  </si>
  <si>
    <t>--&gt; Insert Tool Cost Manually (comment to make tool)</t>
  </si>
  <si>
    <t>Levy Tool Cost --&gt;</t>
  </si>
  <si>
    <t>1. Flat Cost</t>
  </si>
  <si>
    <t>2. Cost per Piece</t>
  </si>
  <si>
    <t>3. Do not levy Tool Cost</t>
  </si>
  <si>
    <t>Select Tool Type --&gt;</t>
  </si>
  <si>
    <t>1. Perfect Tool</t>
  </si>
  <si>
    <t xml:space="preserve">--&gt; </t>
  </si>
  <si>
    <t>2. Block Tool</t>
  </si>
  <si>
    <t>3. Big Tool</t>
  </si>
  <si>
    <t>Loss Weight = Pressed Weight - Theoretical Weight</t>
  </si>
  <si>
    <t>Select Weight</t>
  </si>
  <si>
    <t>--&gt; Input Fields</t>
  </si>
  <si>
    <t>--&gt; Calculate as per above formula</t>
  </si>
  <si>
    <t>Insert RM Cost --&gt;</t>
  </si>
  <si>
    <t>Manual Input</t>
  </si>
  <si>
    <t>Insert Batch Details in text field for Alok Ji to decide RM Cost</t>
  </si>
  <si>
    <t>Insert Value Addition --&gt;</t>
  </si>
  <si>
    <t>% to charge or Rs. 2000 whichever is higher</t>
  </si>
  <si>
    <t>Shaping/Forming</t>
  </si>
  <si>
    <t>Minutes</t>
  </si>
  <si>
    <t>--&gt; Manual Input --&gt; Default should be 0</t>
  </si>
  <si>
    <t>Rate</t>
  </si>
  <si>
    <t>--&gt; Manual Input  --&gt; if any value above 0 - then Rate is compulsary</t>
  </si>
  <si>
    <t>Mandril Cost --&gt;</t>
  </si>
  <si>
    <t>Size</t>
  </si>
  <si>
    <t>Any other Development Cost --&gt;</t>
  </si>
  <si>
    <t>Description</t>
  </si>
  <si>
    <t>Give +1 Option to add multiple Devp Costs</t>
  </si>
  <si>
    <t>Amount</t>
  </si>
  <si>
    <t>Technical Notes --&gt; Long Paragraph field</t>
  </si>
  <si>
    <t>Levy any other Development Cost --&gt;</t>
  </si>
  <si>
    <t>Add OPTIONS to ADMIN MASTER</t>
  </si>
  <si>
    <t>Inhouse Machining</t>
  </si>
  <si>
    <t>--&gt; Drop Down --&gt; OD, Thickness, ID, Tumbling, Angle on Surface, Radius on Surface --&gt; + 1 option - every time I click +1 - i have to add minutes and rate for each option selected</t>
  </si>
  <si>
    <t>--&gt; Manual Input --&gt; Default should be 0 --&gt; Next to the option selected</t>
  </si>
  <si>
    <t>--&gt; Manual Input  --&gt; if any value above 0 - then Rate is compulsary  --&gt; Next to the option selected</t>
  </si>
  <si>
    <t>Outsourced Machining Vendor 1</t>
  </si>
  <si>
    <t>+1 Add Vendor 2 to 5</t>
  </si>
  <si>
    <t>Select Vendor from 1 to 5</t>
  </si>
  <si>
    <t>Negotiation %</t>
  </si>
  <si>
    <t>--&gt; Manual Add</t>
  </si>
  <si>
    <t>Technical Notes</t>
  </si>
  <si>
    <t>Commercial Notes</t>
  </si>
  <si>
    <t>Generate Quote Price</t>
  </si>
  <si>
    <t>Quantity</t>
  </si>
  <si>
    <t>--&gt; Pick from previous form</t>
  </si>
  <si>
    <t>Quantity Tolerance</t>
  </si>
  <si>
    <t>--&gt; Drop Down --&gt; 5% +/-, 10% +/-, Exact</t>
  </si>
  <si>
    <t>Delivery Time</t>
  </si>
  <si>
    <t>--&gt; Drop Down --&gt; in days as well as weeks - google style</t>
  </si>
  <si>
    <t>Price Validity</t>
  </si>
  <si>
    <t>Payment Terms</t>
  </si>
  <si>
    <t>--&gt; Show from Customer Master but select from Drop Down --&gt; 100% Advance, 50% Advance &amp; 50% on Dispatch, 100% on Dispatch, 7 Days Credit, 10 Days Credit, 15 Days Credit, 30 Days Credit, 45 Days Credit, 60 Days Credit</t>
  </si>
  <si>
    <t>Add to Quotation (here costing masters ends)</t>
  </si>
  <si>
    <t>Generate PDF</t>
  </si>
  <si>
    <t>--&gt; Auto Pick all details - name, address, item name, grade, tolerance, etc. from previous files</t>
  </si>
  <si>
    <t>Approve or Edit</t>
  </si>
  <si>
    <t>Email + CC + CC to me --&gt; Send to Anurag Sir Software</t>
  </si>
  <si>
    <t>All Drop Downs must go in Admin Master - do not hard code anything</t>
  </si>
  <si>
    <t>Is to Bought Out or Manufactured</t>
  </si>
  <si>
    <t>Mfd</t>
  </si>
  <si>
    <t>Select which Weight to Take to calculate Sintered Cost</t>
  </si>
  <si>
    <t>Is it previously made? Yes - Previous Press Wt + Loss Wt</t>
  </si>
  <si>
    <t>Method 2</t>
  </si>
  <si>
    <t>Is Tooling Available? Yes - Press Wt + Loss Wt</t>
  </si>
  <si>
    <t>Method 3</t>
  </si>
  <si>
    <t>Is Tooling to be made? Yes - Theoretical Wt + Loss Wt</t>
  </si>
  <si>
    <t>Sintered Cost/gms</t>
  </si>
  <si>
    <t>Is Shaping Needed? - Yes or No</t>
  </si>
  <si>
    <t>Decide Which to 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</si>
</sst>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2.0"/>
      <color rgb="FF000000"/>
      <name val="Calibri"/>
    </font>
    <font/>
    <font>
      <sz val="14.0"/>
      <color rgb="FF000000"/>
      <name val="Calibri"/>
    </font>
    <font>
      <b/>
      <sz val="11.0"/>
      <color rgb="FF000000"/>
      <name val="Calibri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i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</fills>
  <borders count="12">
    <border/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7" fillId="0" fontId="4" numFmtId="0" xfId="0" applyAlignment="1" applyBorder="1" applyFont="1">
      <alignment horizontal="center" readingOrder="0"/>
    </xf>
    <xf borderId="8" fillId="0" fontId="5" numFmtId="0" xfId="0" applyBorder="1" applyFont="1"/>
    <xf borderId="0" fillId="0" fontId="3" numFmtId="0" xfId="0" applyAlignment="1" applyFont="1">
      <alignment readingOrder="0" shrinkToFit="0" vertical="bottom" wrapText="0"/>
    </xf>
    <xf borderId="9" fillId="2" fontId="6" numFmtId="0" xfId="0" applyAlignment="1" applyBorder="1" applyFill="1" applyFont="1">
      <alignment horizontal="center" readingOrder="0" shrinkToFit="0" wrapText="0"/>
    </xf>
    <xf borderId="10" fillId="2" fontId="7" numFmtId="0" xfId="0" applyAlignment="1" applyBorder="1" applyFont="1">
      <alignment horizontal="center" readingOrder="0" shrinkToFit="0" wrapText="0"/>
    </xf>
    <xf borderId="9" fillId="0" fontId="5" numFmtId="0" xfId="0" applyBorder="1" applyFont="1"/>
    <xf borderId="11" fillId="2" fontId="6" numFmtId="0" xfId="0" applyAlignment="1" applyBorder="1" applyFont="1">
      <alignment horizontal="center" readingOrder="0" shrinkToFit="0" vertical="bottom" wrapText="0"/>
    </xf>
    <xf borderId="7" fillId="2" fontId="4" numFmtId="0" xfId="0" applyAlignment="1" applyBorder="1" applyFont="1">
      <alignment horizontal="center" readingOrder="0"/>
    </xf>
    <xf borderId="9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 readingOrder="0"/>
    </xf>
    <xf borderId="7" fillId="2" fontId="7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shrinkToFit="0" wrapText="0"/>
    </xf>
    <xf borderId="10" fillId="0" fontId="1" numFmtId="0" xfId="0" applyBorder="1" applyFont="1"/>
    <xf borderId="10" fillId="0" fontId="1" numFmtId="0" xfId="0" applyAlignment="1" applyBorder="1" applyFont="1">
      <alignment horizontal="center" readingOrder="0"/>
    </xf>
    <xf borderId="10" fillId="0" fontId="8" numFmtId="4" xfId="0" applyAlignment="1" applyBorder="1" applyFont="1" applyNumberFormat="1">
      <alignment horizontal="center" readingOrder="0"/>
    </xf>
    <xf borderId="10" fillId="0" fontId="8" numFmtId="0" xfId="0" applyAlignment="1" applyBorder="1" applyFont="1">
      <alignment horizontal="center" readingOrder="0"/>
    </xf>
    <xf borderId="10" fillId="3" fontId="9" numFmtId="0" xfId="0" applyAlignment="1" applyBorder="1" applyFill="1" applyFont="1">
      <alignment readingOrder="0" shrinkToFit="0" wrapText="1"/>
    </xf>
    <xf borderId="10" fillId="0" fontId="1" numFmtId="4" xfId="0" applyAlignment="1" applyBorder="1" applyFont="1" applyNumberFormat="1">
      <alignment readingOrder="0"/>
    </xf>
    <xf borderId="10" fillId="0" fontId="1" numFmtId="0" xfId="0" applyAlignment="1" applyBorder="1" applyFont="1">
      <alignment readingOrder="0"/>
    </xf>
    <xf borderId="10" fillId="3" fontId="9" numFmtId="0" xfId="0" applyAlignment="1" applyBorder="1" applyFont="1">
      <alignment readingOrder="0"/>
    </xf>
    <xf borderId="10" fillId="4" fontId="1" numFmtId="0" xfId="0" applyAlignment="1" applyBorder="1" applyFill="1" applyFont="1">
      <alignment horizontal="center" readingOrder="0"/>
    </xf>
    <xf borderId="10" fillId="0" fontId="1" numFmtId="4" xfId="0" applyBorder="1" applyFont="1" applyNumberFormat="1"/>
    <xf borderId="10" fillId="0" fontId="2" numFmtId="0" xfId="0" applyAlignment="1" applyBorder="1" applyFont="1">
      <alignment readingOrder="0"/>
    </xf>
    <xf borderId="10" fillId="0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10" fillId="4" fontId="2" numFmtId="0" xfId="0" applyAlignment="1" applyBorder="1" applyFont="1">
      <alignment horizontal="center" readingOrder="0"/>
    </xf>
    <xf borderId="10" fillId="4" fontId="1" numFmtId="4" xfId="0" applyAlignment="1" applyBorder="1" applyFont="1" applyNumberFormat="1">
      <alignment readingOrder="0"/>
    </xf>
    <xf borderId="10" fillId="5" fontId="1" numFmtId="4" xfId="0" applyBorder="1" applyFill="1" applyFont="1" applyNumberFormat="1"/>
    <xf borderId="10" fillId="4" fontId="1" numFmtId="9" xfId="0" applyAlignment="1" applyBorder="1" applyFont="1" applyNumberFormat="1">
      <alignment horizontal="center" readingOrder="0"/>
    </xf>
    <xf borderId="10" fillId="5" fontId="1" numFmtId="4" xfId="0" applyAlignment="1" applyBorder="1" applyFont="1" applyNumberFormat="1">
      <alignment readingOrder="0"/>
    </xf>
    <xf borderId="10" fillId="5" fontId="2" numFmtId="4" xfId="0" applyAlignment="1" applyBorder="1" applyFont="1" applyNumberFormat="1">
      <alignment readingOrder="0"/>
    </xf>
    <xf borderId="10" fillId="5" fontId="1" numFmtId="0" xfId="0" applyAlignment="1" applyBorder="1" applyFont="1">
      <alignment horizontal="center"/>
    </xf>
    <xf borderId="10" fillId="5" fontId="2" numFmtId="4" xfId="0" applyBorder="1" applyFont="1" applyNumberFormat="1"/>
    <xf borderId="10" fillId="0" fontId="2" numFmtId="0" xfId="0" applyBorder="1" applyFont="1"/>
    <xf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/>
    </xf>
    <xf borderId="10" fillId="0" fontId="2" numFmtId="4" xfId="0" applyBorder="1" applyFont="1" applyNumberFormat="1"/>
    <xf borderId="0" fillId="0" fontId="2" numFmtId="0" xfId="0" applyFont="1"/>
    <xf borderId="10" fillId="4" fontId="8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" xfId="0" applyFont="1" applyNumberFormat="1"/>
    <xf quotePrefix="1"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2" numFmtId="4" xfId="0" applyFont="1" applyNumberForma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4" max="4" width="25.88"/>
    <col customWidth="1" min="5" max="5" width="39.75"/>
    <col customWidth="1" min="6" max="6" width="14.88"/>
    <col customWidth="1" min="7" max="7" width="13.5"/>
  </cols>
  <sheetData>
    <row r="1">
      <c r="A1" s="1" t="s">
        <v>0</v>
      </c>
    </row>
    <row r="2">
      <c r="B2" s="1" t="s">
        <v>1</v>
      </c>
      <c r="E2" s="1" t="s">
        <v>2</v>
      </c>
    </row>
    <row r="3">
      <c r="B3" s="1" t="s">
        <v>3</v>
      </c>
      <c r="E3" s="1" t="s">
        <v>4</v>
      </c>
    </row>
    <row r="4">
      <c r="B4" s="1" t="s">
        <v>5</v>
      </c>
      <c r="E4" s="1" t="s">
        <v>6</v>
      </c>
    </row>
    <row r="5">
      <c r="B5" s="1" t="s">
        <v>7</v>
      </c>
      <c r="E5" s="1" t="s">
        <v>8</v>
      </c>
    </row>
    <row r="6">
      <c r="E6" s="1" t="s">
        <v>9</v>
      </c>
    </row>
    <row r="7">
      <c r="B7" s="1" t="s">
        <v>10</v>
      </c>
      <c r="E7" s="1" t="s">
        <v>11</v>
      </c>
    </row>
    <row r="8">
      <c r="E8" s="1" t="s">
        <v>12</v>
      </c>
    </row>
    <row r="9">
      <c r="B9" s="1" t="s">
        <v>13</v>
      </c>
      <c r="E9" s="1" t="s">
        <v>14</v>
      </c>
    </row>
    <row r="11">
      <c r="B11" s="1" t="s">
        <v>15</v>
      </c>
    </row>
    <row r="12">
      <c r="D12" s="1" t="s">
        <v>16</v>
      </c>
      <c r="E12" s="1" t="s">
        <v>17</v>
      </c>
    </row>
    <row r="13">
      <c r="D13" s="1" t="s">
        <v>18</v>
      </c>
      <c r="E13" s="1" t="s">
        <v>19</v>
      </c>
      <c r="F13" s="1" t="s">
        <v>20</v>
      </c>
    </row>
    <row r="14">
      <c r="D14" s="1" t="s">
        <v>18</v>
      </c>
      <c r="E14" s="1" t="s">
        <v>21</v>
      </c>
      <c r="F14" s="1" t="s">
        <v>22</v>
      </c>
    </row>
    <row r="15">
      <c r="D15" s="1" t="s">
        <v>18</v>
      </c>
      <c r="E15" s="1" t="s">
        <v>23</v>
      </c>
      <c r="F15" s="1" t="s">
        <v>24</v>
      </c>
    </row>
    <row r="16">
      <c r="D16" s="1" t="s">
        <v>18</v>
      </c>
      <c r="E16" s="1" t="s">
        <v>5</v>
      </c>
      <c r="F16" s="1" t="s">
        <v>25</v>
      </c>
    </row>
    <row r="17">
      <c r="D17" s="1" t="s">
        <v>26</v>
      </c>
      <c r="E17" s="1" t="s">
        <v>27</v>
      </c>
      <c r="F17" s="1" t="s">
        <v>28</v>
      </c>
    </row>
    <row r="18">
      <c r="E18" s="1" t="s">
        <v>29</v>
      </c>
    </row>
    <row r="19">
      <c r="B19" s="1"/>
    </row>
    <row r="20">
      <c r="B20" s="1"/>
      <c r="E20" s="1" t="s">
        <v>30</v>
      </c>
    </row>
    <row r="21">
      <c r="B21" s="1"/>
    </row>
    <row r="23">
      <c r="F23" s="1" t="s">
        <v>31</v>
      </c>
      <c r="G23" s="1" t="s">
        <v>32</v>
      </c>
      <c r="H23" s="1" t="s">
        <v>33</v>
      </c>
      <c r="I23" s="1" t="s">
        <v>34</v>
      </c>
    </row>
    <row r="24">
      <c r="G24" s="1" t="s">
        <v>35</v>
      </c>
      <c r="H24" s="1">
        <v>12.0</v>
      </c>
      <c r="I24" s="1">
        <v>12.25</v>
      </c>
    </row>
    <row r="25">
      <c r="G25" s="1" t="s">
        <v>36</v>
      </c>
      <c r="H25" s="1">
        <v>10.3</v>
      </c>
      <c r="I25" s="1">
        <v>11.0</v>
      </c>
    </row>
    <row r="26">
      <c r="B26" s="1"/>
      <c r="G26" s="1" t="s">
        <v>37</v>
      </c>
      <c r="H26" s="1">
        <v>10.2</v>
      </c>
      <c r="I26" s="1">
        <v>10.0</v>
      </c>
    </row>
    <row r="27">
      <c r="B27" s="1" t="s">
        <v>38</v>
      </c>
      <c r="E27" s="1" t="s">
        <v>27</v>
      </c>
      <c r="G27" s="1" t="s">
        <v>39</v>
      </c>
      <c r="H27" s="1">
        <v>9.6</v>
      </c>
      <c r="I27" s="1">
        <v>10.4</v>
      </c>
    </row>
    <row r="28">
      <c r="B28" s="1" t="s">
        <v>40</v>
      </c>
      <c r="C28" s="1" t="s">
        <v>41</v>
      </c>
      <c r="D28" s="1" t="s">
        <v>42</v>
      </c>
      <c r="E28" s="1" t="s">
        <v>43</v>
      </c>
    </row>
    <row r="29">
      <c r="B29" s="1" t="s">
        <v>44</v>
      </c>
      <c r="C29" s="1" t="s">
        <v>45</v>
      </c>
      <c r="D29" s="1" t="s">
        <v>46</v>
      </c>
      <c r="E29" s="1" t="s">
        <v>47</v>
      </c>
    </row>
    <row r="30">
      <c r="B30" s="1" t="s">
        <v>48</v>
      </c>
      <c r="C30" s="1" t="s">
        <v>49</v>
      </c>
      <c r="D30" s="1" t="s">
        <v>46</v>
      </c>
      <c r="E30" s="1" t="s">
        <v>50</v>
      </c>
    </row>
    <row r="32">
      <c r="B32" s="1" t="s">
        <v>51</v>
      </c>
    </row>
    <row r="33">
      <c r="B33" s="1" t="s">
        <v>52</v>
      </c>
    </row>
    <row r="34">
      <c r="B34" s="1" t="s">
        <v>53</v>
      </c>
    </row>
    <row r="35">
      <c r="B35" s="1" t="s">
        <v>54</v>
      </c>
      <c r="C35" s="2"/>
    </row>
    <row r="36">
      <c r="B36" s="1" t="s">
        <v>55</v>
      </c>
      <c r="C36" s="3"/>
    </row>
    <row r="37">
      <c r="B37" s="1"/>
      <c r="C37" s="3"/>
    </row>
    <row r="38">
      <c r="B38" s="1"/>
      <c r="C38" s="3"/>
    </row>
    <row r="39">
      <c r="B39" s="1" t="s">
        <v>56</v>
      </c>
      <c r="C39" s="3"/>
    </row>
    <row r="40">
      <c r="B40" s="1" t="s">
        <v>57</v>
      </c>
      <c r="C40" s="3"/>
    </row>
    <row r="41">
      <c r="B41" s="1" t="s">
        <v>58</v>
      </c>
      <c r="C41" s="3"/>
    </row>
    <row r="42">
      <c r="B42" s="1"/>
      <c r="C42" s="3"/>
    </row>
    <row r="43">
      <c r="B43" s="4" t="s">
        <v>59</v>
      </c>
      <c r="C43" s="5"/>
    </row>
    <row r="44">
      <c r="B44" s="6"/>
    </row>
    <row r="45">
      <c r="B45" s="7" t="s">
        <v>60</v>
      </c>
    </row>
    <row r="46">
      <c r="B46" s="6"/>
    </row>
    <row r="47">
      <c r="B47" s="7" t="s">
        <v>61</v>
      </c>
    </row>
    <row r="48">
      <c r="B48" s="7" t="s">
        <v>62</v>
      </c>
    </row>
    <row r="49">
      <c r="B49" s="7" t="s">
        <v>63</v>
      </c>
    </row>
    <row r="50">
      <c r="B50" s="7" t="s">
        <v>64</v>
      </c>
    </row>
    <row r="51">
      <c r="B51" s="8" t="s">
        <v>65</v>
      </c>
    </row>
    <row r="53">
      <c r="B53" s="9" t="s">
        <v>66</v>
      </c>
    </row>
    <row r="55">
      <c r="B55" s="9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25"/>
  </cols>
  <sheetData>
    <row r="1">
      <c r="A1" s="10"/>
      <c r="B1" s="10"/>
      <c r="C1" s="10"/>
    </row>
    <row r="2">
      <c r="A2" s="10"/>
      <c r="B2" s="10"/>
      <c r="C2" s="10"/>
    </row>
    <row r="3">
      <c r="A3" s="10"/>
      <c r="B3" s="10"/>
      <c r="C3" s="10"/>
    </row>
    <row r="4">
      <c r="A4" s="10"/>
      <c r="B4" s="10"/>
      <c r="C4" s="10"/>
    </row>
    <row r="5">
      <c r="A5" s="11" t="s">
        <v>68</v>
      </c>
      <c r="B5" s="12"/>
      <c r="C5" s="10"/>
    </row>
    <row r="6">
      <c r="A6" s="11" t="s">
        <v>69</v>
      </c>
      <c r="B6" s="12"/>
      <c r="C6" s="10"/>
    </row>
    <row r="7">
      <c r="A7" s="11" t="s">
        <v>70</v>
      </c>
      <c r="B7" s="12"/>
      <c r="C7" s="10"/>
    </row>
    <row r="8">
      <c r="A8" s="11" t="s">
        <v>71</v>
      </c>
      <c r="B8" s="12"/>
      <c r="C8" s="10"/>
    </row>
    <row r="9">
      <c r="A9" s="11" t="s">
        <v>72</v>
      </c>
      <c r="B9" s="12"/>
      <c r="C9" s="13" t="s">
        <v>73</v>
      </c>
    </row>
    <row r="10">
      <c r="A10" s="11" t="s">
        <v>74</v>
      </c>
      <c r="B10" s="12"/>
      <c r="C10" s="10"/>
    </row>
    <row r="11">
      <c r="A11" s="11" t="s">
        <v>75</v>
      </c>
      <c r="B11" s="12"/>
      <c r="C11" s="10"/>
    </row>
    <row r="12">
      <c r="A12" s="11" t="s">
        <v>76</v>
      </c>
      <c r="B12" s="12"/>
      <c r="C12" s="13" t="s">
        <v>77</v>
      </c>
    </row>
    <row r="13">
      <c r="A13" s="11" t="s">
        <v>78</v>
      </c>
      <c r="B13" s="12"/>
      <c r="C13" s="13" t="s">
        <v>79</v>
      </c>
    </row>
    <row r="14">
      <c r="A14" s="11" t="s">
        <v>67</v>
      </c>
      <c r="B14" s="12"/>
      <c r="C14" s="13" t="s">
        <v>80</v>
      </c>
    </row>
    <row r="15">
      <c r="A15" s="11" t="s">
        <v>81</v>
      </c>
      <c r="B15" s="12"/>
      <c r="C15" s="10"/>
    </row>
    <row r="16">
      <c r="A16" s="11" t="s">
        <v>82</v>
      </c>
      <c r="B16" s="12"/>
      <c r="C16" s="13" t="s">
        <v>83</v>
      </c>
    </row>
    <row r="17">
      <c r="A17" s="11" t="s">
        <v>84</v>
      </c>
      <c r="B17" s="12"/>
      <c r="C17" s="13" t="s">
        <v>85</v>
      </c>
    </row>
    <row r="18">
      <c r="A18" s="11" t="s">
        <v>86</v>
      </c>
      <c r="B18" s="12"/>
      <c r="C18" s="10"/>
    </row>
    <row r="19">
      <c r="A19" s="14" t="s">
        <v>87</v>
      </c>
      <c r="B19" s="15" t="s">
        <v>88</v>
      </c>
      <c r="C19" s="13" t="s">
        <v>89</v>
      </c>
    </row>
    <row r="20">
      <c r="A20" s="16"/>
      <c r="B20" s="15" t="s">
        <v>90</v>
      </c>
      <c r="C20" s="13" t="s">
        <v>89</v>
      </c>
    </row>
    <row r="21">
      <c r="A21" s="16"/>
      <c r="B21" s="15" t="s">
        <v>91</v>
      </c>
      <c r="C21" s="13" t="s">
        <v>89</v>
      </c>
    </row>
    <row r="22">
      <c r="A22" s="17" t="s">
        <v>67</v>
      </c>
      <c r="B22" s="15" t="s">
        <v>88</v>
      </c>
      <c r="C22" s="13" t="s">
        <v>92</v>
      </c>
    </row>
    <row r="23">
      <c r="A23" s="16"/>
      <c r="B23" s="15" t="s">
        <v>90</v>
      </c>
      <c r="C23" s="13" t="s">
        <v>92</v>
      </c>
    </row>
    <row r="24">
      <c r="A24" s="16"/>
      <c r="B24" s="15" t="s">
        <v>91</v>
      </c>
      <c r="C24" s="13" t="s">
        <v>92</v>
      </c>
    </row>
    <row r="25">
      <c r="A25" s="17" t="s">
        <v>93</v>
      </c>
      <c r="B25" s="15" t="s">
        <v>88</v>
      </c>
      <c r="C25" s="13" t="s">
        <v>92</v>
      </c>
    </row>
    <row r="26">
      <c r="A26" s="16"/>
      <c r="B26" s="15" t="s">
        <v>90</v>
      </c>
      <c r="C26" s="13" t="s">
        <v>92</v>
      </c>
    </row>
    <row r="27">
      <c r="A27" s="16"/>
      <c r="B27" s="15" t="s">
        <v>91</v>
      </c>
      <c r="C27" s="13" t="s">
        <v>92</v>
      </c>
    </row>
    <row r="28">
      <c r="A28" s="17" t="s">
        <v>94</v>
      </c>
      <c r="B28" s="15" t="s">
        <v>88</v>
      </c>
      <c r="C28" s="13" t="s">
        <v>95</v>
      </c>
    </row>
    <row r="29">
      <c r="A29" s="16"/>
      <c r="B29" s="15" t="s">
        <v>90</v>
      </c>
      <c r="C29" s="13" t="s">
        <v>95</v>
      </c>
    </row>
    <row r="30">
      <c r="A30" s="16"/>
      <c r="B30" s="15" t="s">
        <v>91</v>
      </c>
      <c r="C30" s="13" t="s">
        <v>95</v>
      </c>
    </row>
    <row r="31">
      <c r="A31" s="18" t="s">
        <v>96</v>
      </c>
      <c r="B31" s="12"/>
      <c r="C31" s="10"/>
    </row>
    <row r="32">
      <c r="A32" s="18" t="s">
        <v>97</v>
      </c>
      <c r="B32" s="12"/>
      <c r="C32" s="10"/>
    </row>
    <row r="33">
      <c r="A33" s="19"/>
      <c r="B33" s="20" t="s">
        <v>98</v>
      </c>
      <c r="C33" s="10"/>
    </row>
    <row r="34">
      <c r="A34" s="21" t="s">
        <v>99</v>
      </c>
      <c r="B34" s="20" t="s">
        <v>100</v>
      </c>
      <c r="C34" s="10"/>
    </row>
    <row r="35">
      <c r="A35" s="18" t="s">
        <v>101</v>
      </c>
      <c r="B35" s="12"/>
      <c r="C35" s="10"/>
    </row>
    <row r="36">
      <c r="A36" s="18" t="s">
        <v>102</v>
      </c>
      <c r="B36" s="12"/>
      <c r="C36" s="10"/>
    </row>
    <row r="37">
      <c r="A37" s="18" t="s">
        <v>103</v>
      </c>
      <c r="B37" s="12"/>
      <c r="C37" s="10"/>
    </row>
    <row r="38">
      <c r="A38" s="18" t="s">
        <v>104</v>
      </c>
      <c r="B38" s="12"/>
      <c r="C38" s="10"/>
    </row>
    <row r="39">
      <c r="A39" s="18" t="s">
        <v>105</v>
      </c>
      <c r="B39" s="12"/>
      <c r="C39" s="10"/>
    </row>
    <row r="40">
      <c r="A40" s="22" t="s">
        <v>106</v>
      </c>
      <c r="B40" s="12"/>
      <c r="C40" s="10"/>
    </row>
    <row r="41">
      <c r="A41" s="11" t="s">
        <v>107</v>
      </c>
      <c r="B41" s="12"/>
      <c r="C41" s="10"/>
    </row>
    <row r="42">
      <c r="A42" s="11" t="s">
        <v>108</v>
      </c>
      <c r="B42" s="12"/>
      <c r="C42" s="10"/>
    </row>
    <row r="43">
      <c r="A43" s="23"/>
      <c r="B43" s="24" t="s">
        <v>109</v>
      </c>
      <c r="C43" s="10"/>
    </row>
    <row r="44">
      <c r="A44" s="25"/>
      <c r="B44" s="24" t="s">
        <v>110</v>
      </c>
      <c r="C44" s="10"/>
    </row>
    <row r="45">
      <c r="A45" s="25"/>
      <c r="B45" s="24" t="s">
        <v>111</v>
      </c>
      <c r="C45" s="10"/>
    </row>
    <row r="46">
      <c r="A46" s="18" t="s">
        <v>112</v>
      </c>
      <c r="B46" s="12"/>
      <c r="C46" s="10"/>
    </row>
    <row r="47">
      <c r="A47" s="11" t="s">
        <v>113</v>
      </c>
      <c r="B47" s="12"/>
      <c r="C47" s="10"/>
    </row>
    <row r="48">
      <c r="A48" s="11" t="s">
        <v>114</v>
      </c>
      <c r="B48" s="12"/>
      <c r="C48" s="10"/>
    </row>
    <row r="49">
      <c r="A49" s="11" t="s">
        <v>115</v>
      </c>
      <c r="B49" s="12"/>
      <c r="C49" s="10"/>
    </row>
    <row r="50">
      <c r="A50" s="11" t="s">
        <v>116</v>
      </c>
      <c r="B50" s="12"/>
      <c r="C50" s="10"/>
    </row>
    <row r="51">
      <c r="A51" s="11" t="s">
        <v>117</v>
      </c>
      <c r="B51" s="12"/>
      <c r="C51" s="10"/>
    </row>
    <row r="52">
      <c r="A52" s="11" t="s">
        <v>118</v>
      </c>
      <c r="B52" s="12"/>
      <c r="C52" s="10"/>
    </row>
    <row r="53">
      <c r="A53" s="11" t="s">
        <v>119</v>
      </c>
      <c r="B53" s="12"/>
      <c r="C53" s="10"/>
    </row>
    <row r="54">
      <c r="A54" s="11" t="s">
        <v>120</v>
      </c>
      <c r="B54" s="12"/>
      <c r="C54" s="10"/>
    </row>
    <row r="55">
      <c r="A55" s="11" t="s">
        <v>121</v>
      </c>
      <c r="B55" s="12"/>
      <c r="C55" s="10"/>
    </row>
    <row r="56">
      <c r="A56" s="11" t="s">
        <v>122</v>
      </c>
      <c r="B56" s="12"/>
      <c r="C56" s="10"/>
    </row>
    <row r="57">
      <c r="A57" s="11" t="s">
        <v>123</v>
      </c>
      <c r="B57" s="12"/>
      <c r="C57" s="10"/>
    </row>
    <row r="58">
      <c r="A58" s="11" t="s">
        <v>124</v>
      </c>
      <c r="B58" s="12"/>
      <c r="C58" s="10"/>
    </row>
    <row r="59">
      <c r="A59" s="11" t="s">
        <v>125</v>
      </c>
      <c r="B59" s="12"/>
      <c r="C59" s="10"/>
    </row>
    <row r="60">
      <c r="A60" s="23"/>
      <c r="B60" s="24" t="s">
        <v>126</v>
      </c>
      <c r="C60" s="10"/>
    </row>
    <row r="61">
      <c r="A61" s="26" t="s">
        <v>127</v>
      </c>
      <c r="B61" s="12"/>
      <c r="C61" s="10"/>
    </row>
    <row r="62">
      <c r="A62" s="26" t="s">
        <v>128</v>
      </c>
      <c r="B62" s="12"/>
      <c r="C62" s="10"/>
    </row>
    <row r="63">
      <c r="A63" s="27" t="s">
        <v>129</v>
      </c>
      <c r="B63" s="12"/>
      <c r="C63" s="10"/>
    </row>
    <row r="64">
      <c r="A64" s="27" t="s">
        <v>130</v>
      </c>
      <c r="B64" s="12"/>
      <c r="C64" s="10"/>
    </row>
    <row r="65">
      <c r="A65" s="28" t="s">
        <v>131</v>
      </c>
      <c r="B65" s="12"/>
      <c r="C65" s="10"/>
    </row>
    <row r="66">
      <c r="A66" s="28" t="s">
        <v>132</v>
      </c>
      <c r="B66" s="12"/>
      <c r="C66" s="10"/>
    </row>
    <row r="67">
      <c r="A67" s="28" t="s">
        <v>133</v>
      </c>
      <c r="B67" s="12"/>
      <c r="C67" s="10"/>
    </row>
    <row r="68">
      <c r="A68" s="10"/>
      <c r="B68" s="29"/>
      <c r="C68" s="10"/>
    </row>
  </sheetData>
  <mergeCells count="49"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A21"/>
    <mergeCell ref="A22:A24"/>
    <mergeCell ref="A25:A27"/>
    <mergeCell ref="A28:A30"/>
    <mergeCell ref="A31:B31"/>
    <mergeCell ref="A32:B32"/>
    <mergeCell ref="A35:B35"/>
    <mergeCell ref="A36:B36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63:B63"/>
    <mergeCell ref="A64:B64"/>
    <mergeCell ref="A65:B65"/>
    <mergeCell ref="A66:B66"/>
    <mergeCell ref="A67:B67"/>
    <mergeCell ref="A53:B53"/>
    <mergeCell ref="A54:B54"/>
    <mergeCell ref="A55:B55"/>
    <mergeCell ref="A56:B56"/>
    <mergeCell ref="A57:B57"/>
    <mergeCell ref="A58:B58"/>
    <mergeCell ref="A59:B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134</v>
      </c>
    </row>
    <row r="4">
      <c r="B4" s="1" t="s">
        <v>135</v>
      </c>
    </row>
    <row r="5">
      <c r="B5" s="1" t="s">
        <v>136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35.25"/>
  </cols>
  <sheetData>
    <row r="3">
      <c r="C3" s="1" t="s">
        <v>137</v>
      </c>
    </row>
    <row r="5">
      <c r="C5" s="1" t="s">
        <v>138</v>
      </c>
      <c r="D5" s="1" t="s">
        <v>139</v>
      </c>
    </row>
    <row r="6">
      <c r="D6" s="1" t="s">
        <v>140</v>
      </c>
    </row>
    <row r="7">
      <c r="D7" s="1" t="s">
        <v>141</v>
      </c>
    </row>
    <row r="8">
      <c r="D8" s="1" t="s">
        <v>142</v>
      </c>
    </row>
    <row r="11">
      <c r="D11" s="1" t="s">
        <v>143</v>
      </c>
    </row>
    <row r="12">
      <c r="D12" s="1" t="s">
        <v>144</v>
      </c>
    </row>
    <row r="13">
      <c r="D13" s="1" t="s">
        <v>145</v>
      </c>
    </row>
    <row r="15">
      <c r="C15" s="1" t="s">
        <v>146</v>
      </c>
    </row>
    <row r="18">
      <c r="C18" s="1" t="s">
        <v>147</v>
      </c>
    </row>
    <row r="22">
      <c r="C22" s="1" t="s">
        <v>148</v>
      </c>
    </row>
    <row r="23">
      <c r="C23" s="1" t="s">
        <v>149</v>
      </c>
    </row>
    <row r="24">
      <c r="C24" s="1" t="s">
        <v>150</v>
      </c>
    </row>
    <row r="25">
      <c r="C25" s="1" t="s">
        <v>151</v>
      </c>
    </row>
    <row r="26">
      <c r="C26" s="1" t="s">
        <v>152</v>
      </c>
    </row>
    <row r="27">
      <c r="C27" s="1" t="s">
        <v>153</v>
      </c>
    </row>
    <row r="28">
      <c r="C28" s="1" t="s">
        <v>154</v>
      </c>
    </row>
    <row r="29">
      <c r="C29" s="1" t="s">
        <v>155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6.75"/>
    <col customWidth="1" min="2" max="2" width="8.0"/>
    <col customWidth="1" min="3" max="3" width="41.25"/>
    <col customWidth="1" min="4" max="4" width="8.38"/>
    <col customWidth="1" min="5" max="7" width="15.63"/>
    <col customWidth="1" min="8" max="9" width="19.63"/>
  </cols>
  <sheetData>
    <row r="1">
      <c r="A1" s="30"/>
      <c r="B1" s="30"/>
      <c r="C1" s="30"/>
      <c r="D1" s="31"/>
      <c r="E1" s="32" t="s">
        <v>156</v>
      </c>
      <c r="F1" s="33"/>
      <c r="G1" s="33" t="s">
        <v>157</v>
      </c>
      <c r="H1" s="33" t="s">
        <v>158</v>
      </c>
      <c r="I1" s="33" t="s">
        <v>159</v>
      </c>
    </row>
    <row r="2">
      <c r="A2" s="30"/>
      <c r="B2" s="30"/>
      <c r="C2" s="34" t="s">
        <v>160</v>
      </c>
      <c r="D2" s="31"/>
      <c r="E2" s="35" t="s">
        <v>161</v>
      </c>
      <c r="F2" s="36"/>
      <c r="G2" s="36" t="s">
        <v>161</v>
      </c>
      <c r="H2" s="36" t="s">
        <v>162</v>
      </c>
      <c r="I2" s="36" t="s">
        <v>162</v>
      </c>
    </row>
    <row r="3">
      <c r="A3" s="30"/>
      <c r="B3" s="30"/>
      <c r="C3" s="37" t="s">
        <v>163</v>
      </c>
      <c r="D3" s="31"/>
      <c r="E3" s="35" t="s">
        <v>164</v>
      </c>
      <c r="F3" s="36"/>
      <c r="G3" s="36" t="s">
        <v>165</v>
      </c>
      <c r="H3" s="36" t="s">
        <v>166</v>
      </c>
      <c r="I3" s="36" t="s">
        <v>167</v>
      </c>
    </row>
    <row r="4">
      <c r="A4" s="30"/>
      <c r="B4" s="30"/>
      <c r="C4" s="36" t="s">
        <v>98</v>
      </c>
      <c r="D4" s="38">
        <v>25.0</v>
      </c>
      <c r="E4" s="39"/>
      <c r="F4" s="38">
        <v>2.0</v>
      </c>
      <c r="G4" s="39"/>
      <c r="H4" s="30"/>
      <c r="I4" s="30"/>
    </row>
    <row r="5">
      <c r="A5" s="36"/>
      <c r="B5" s="40"/>
      <c r="C5" s="40" t="s">
        <v>168</v>
      </c>
      <c r="D5" s="38"/>
      <c r="E5" s="39"/>
      <c r="F5" s="38"/>
      <c r="G5" s="39"/>
      <c r="H5" s="30"/>
      <c r="I5" s="30"/>
    </row>
    <row r="6">
      <c r="A6" s="36"/>
      <c r="B6" s="40"/>
      <c r="C6" s="40" t="s">
        <v>169</v>
      </c>
      <c r="D6" s="38"/>
      <c r="E6" s="39"/>
      <c r="F6" s="38"/>
      <c r="G6" s="39"/>
      <c r="H6" s="30"/>
      <c r="I6" s="30"/>
    </row>
    <row r="7">
      <c r="A7" s="36"/>
      <c r="B7" s="40"/>
      <c r="C7" s="40" t="s">
        <v>170</v>
      </c>
      <c r="D7" s="38"/>
      <c r="E7" s="39"/>
      <c r="F7" s="38"/>
      <c r="G7" s="39"/>
      <c r="H7" s="30"/>
      <c r="I7" s="30"/>
    </row>
    <row r="8">
      <c r="A8" s="36"/>
      <c r="B8" s="40"/>
      <c r="D8" s="38"/>
      <c r="E8" s="39"/>
      <c r="F8" s="38"/>
      <c r="G8" s="39"/>
      <c r="H8" s="30"/>
      <c r="I8" s="30"/>
    </row>
    <row r="9">
      <c r="A9" s="36"/>
      <c r="B9" s="40" t="s">
        <v>171</v>
      </c>
      <c r="C9" s="40" t="s">
        <v>172</v>
      </c>
      <c r="D9" s="38" t="s">
        <v>173</v>
      </c>
      <c r="E9" s="39"/>
      <c r="F9" s="38"/>
      <c r="G9" s="39"/>
      <c r="H9" s="30"/>
      <c r="I9" s="30"/>
    </row>
    <row r="10">
      <c r="A10" s="36"/>
      <c r="B10" s="40" t="s">
        <v>174</v>
      </c>
      <c r="C10" s="40" t="s">
        <v>175</v>
      </c>
      <c r="D10" s="38"/>
      <c r="E10" s="39"/>
      <c r="F10" s="38"/>
      <c r="G10" s="39"/>
      <c r="H10" s="30"/>
      <c r="I10" s="30"/>
    </row>
    <row r="11">
      <c r="A11" s="36"/>
      <c r="B11" s="40"/>
      <c r="C11" s="1" t="s">
        <v>41</v>
      </c>
      <c r="D11" s="38"/>
      <c r="E11" s="39"/>
      <c r="F11" s="38"/>
      <c r="G11" s="39"/>
      <c r="H11" s="30"/>
      <c r="I11" s="30"/>
    </row>
    <row r="12">
      <c r="A12" s="36"/>
      <c r="B12" s="40"/>
      <c r="C12" s="1" t="s">
        <v>45</v>
      </c>
      <c r="D12" s="38"/>
      <c r="E12" s="39"/>
      <c r="F12" s="38"/>
      <c r="G12" s="39"/>
      <c r="H12" s="30"/>
      <c r="I12" s="30"/>
    </row>
    <row r="13">
      <c r="A13" s="36"/>
      <c r="B13" s="40"/>
      <c r="C13" s="1" t="s">
        <v>49</v>
      </c>
      <c r="D13" s="38"/>
      <c r="E13" s="39"/>
      <c r="F13" s="38"/>
      <c r="G13" s="39"/>
      <c r="H13" s="30"/>
      <c r="I13" s="30"/>
    </row>
    <row r="14">
      <c r="A14" s="36"/>
      <c r="B14" s="36"/>
      <c r="C14" s="40" t="s">
        <v>176</v>
      </c>
      <c r="D14" s="41"/>
      <c r="E14" s="39"/>
      <c r="F14" s="41"/>
      <c r="G14" s="39"/>
      <c r="H14" s="30"/>
      <c r="I14" s="30"/>
    </row>
    <row r="15">
      <c r="A15" s="36"/>
      <c r="B15" s="36"/>
      <c r="C15" s="36" t="s">
        <v>177</v>
      </c>
      <c r="D15" s="38" t="s">
        <v>178</v>
      </c>
      <c r="E15" s="39"/>
      <c r="F15" s="38" t="s">
        <v>178</v>
      </c>
      <c r="G15" s="39"/>
      <c r="H15" s="30"/>
      <c r="I15" s="30"/>
    </row>
    <row r="16">
      <c r="A16" s="36"/>
      <c r="B16" s="36" t="s">
        <v>179</v>
      </c>
      <c r="C16" s="36" t="s">
        <v>180</v>
      </c>
      <c r="D16" s="38">
        <v>12000.0</v>
      </c>
      <c r="E16" s="39">
        <f>D16</f>
        <v>12000</v>
      </c>
      <c r="F16" s="38">
        <v>0.0</v>
      </c>
      <c r="G16" s="39">
        <f>F16</f>
        <v>0</v>
      </c>
      <c r="H16" s="30"/>
      <c r="I16" s="30"/>
    </row>
    <row r="17">
      <c r="A17" s="36"/>
      <c r="B17" s="36" t="s">
        <v>181</v>
      </c>
      <c r="C17" s="36" t="s">
        <v>182</v>
      </c>
      <c r="D17" s="42"/>
      <c r="E17" s="39">
        <f>D16/D4</f>
        <v>480</v>
      </c>
      <c r="F17" s="38">
        <v>0.0</v>
      </c>
      <c r="G17" s="39">
        <f>F16/F4</f>
        <v>0</v>
      </c>
      <c r="H17" s="30"/>
      <c r="I17" s="30"/>
    </row>
    <row r="18">
      <c r="A18" s="36"/>
      <c r="B18" s="36" t="s">
        <v>183</v>
      </c>
      <c r="C18" s="36" t="s">
        <v>184</v>
      </c>
      <c r="D18" s="41"/>
      <c r="E18" s="39"/>
      <c r="F18" s="41"/>
      <c r="G18" s="39"/>
      <c r="H18" s="30"/>
      <c r="I18" s="30"/>
    </row>
    <row r="19">
      <c r="A19" s="36"/>
      <c r="B19" s="40" t="s">
        <v>185</v>
      </c>
      <c r="C19" s="40" t="s">
        <v>186</v>
      </c>
      <c r="D19" s="43" t="s">
        <v>187</v>
      </c>
      <c r="E19" s="35"/>
      <c r="F19" s="43" t="s">
        <v>187</v>
      </c>
      <c r="G19" s="35"/>
      <c r="H19" s="30"/>
      <c r="I19" s="30"/>
    </row>
    <row r="20">
      <c r="A20" s="36"/>
      <c r="B20" s="36" t="s">
        <v>18</v>
      </c>
      <c r="C20" s="36" t="s">
        <v>188</v>
      </c>
      <c r="D20" s="42"/>
      <c r="E20" s="39"/>
      <c r="F20" s="38">
        <v>13603.0</v>
      </c>
      <c r="G20" s="39"/>
      <c r="H20" s="30"/>
      <c r="I20" s="30"/>
    </row>
    <row r="21">
      <c r="A21" s="36"/>
      <c r="B21" s="36" t="s">
        <v>18</v>
      </c>
      <c r="C21" s="36" t="s">
        <v>189</v>
      </c>
      <c r="D21" s="42"/>
      <c r="E21" s="39"/>
      <c r="F21" s="38">
        <v>4820.0</v>
      </c>
      <c r="G21" s="39"/>
      <c r="H21" s="30"/>
      <c r="I21" s="30"/>
    </row>
    <row r="22">
      <c r="A22" s="36" t="s">
        <v>190</v>
      </c>
      <c r="B22" s="36" t="s">
        <v>18</v>
      </c>
      <c r="C22" s="36" t="s">
        <v>23</v>
      </c>
      <c r="D22" s="44">
        <v>84.0</v>
      </c>
      <c r="E22" s="45">
        <f>D22</f>
        <v>84</v>
      </c>
      <c r="F22" s="44">
        <v>15310.0</v>
      </c>
      <c r="G22" s="45">
        <f>F22</f>
        <v>15310</v>
      </c>
      <c r="H22" s="30"/>
      <c r="I22" s="30"/>
    </row>
    <row r="23">
      <c r="A23" s="36"/>
      <c r="B23" s="36" t="s">
        <v>191</v>
      </c>
      <c r="C23" s="36" t="s">
        <v>192</v>
      </c>
      <c r="D23" s="41"/>
      <c r="E23" s="45">
        <f>D22*D4</f>
        <v>2100</v>
      </c>
      <c r="F23" s="41"/>
      <c r="G23" s="45">
        <f>F22</f>
        <v>15310</v>
      </c>
      <c r="H23" s="30"/>
      <c r="I23" s="30"/>
    </row>
    <row r="24">
      <c r="A24" s="30"/>
      <c r="B24" s="30"/>
      <c r="C24" s="36" t="s">
        <v>193</v>
      </c>
      <c r="D24" s="41"/>
      <c r="E24" s="45">
        <f>E23/1000</f>
        <v>2.1</v>
      </c>
      <c r="F24" s="41"/>
      <c r="G24" s="45">
        <f>G23/1000</f>
        <v>15.31</v>
      </c>
      <c r="H24" s="30"/>
      <c r="I24" s="30"/>
    </row>
    <row r="25">
      <c r="A25" s="30"/>
      <c r="B25" s="36" t="s">
        <v>194</v>
      </c>
      <c r="C25" s="36" t="s">
        <v>195</v>
      </c>
      <c r="D25" s="46">
        <v>0.0</v>
      </c>
      <c r="E25" s="47">
        <v>0.0</v>
      </c>
      <c r="F25" s="46">
        <v>0.15</v>
      </c>
      <c r="G25" s="47">
        <f>F25*(F22-F21)/1000</f>
        <v>1.5735</v>
      </c>
      <c r="H25" s="36"/>
      <c r="I25" s="30"/>
    </row>
    <row r="26">
      <c r="A26" s="36"/>
      <c r="B26" s="36" t="s">
        <v>191</v>
      </c>
      <c r="C26" s="36" t="s">
        <v>196</v>
      </c>
      <c r="D26" s="38">
        <v>17000.0</v>
      </c>
      <c r="E26" s="39"/>
      <c r="F26" s="38">
        <v>19000.0</v>
      </c>
      <c r="G26" s="39"/>
      <c r="H26" s="30"/>
      <c r="I26" s="30"/>
    </row>
    <row r="27">
      <c r="A27" s="36" t="s">
        <v>178</v>
      </c>
      <c r="B27" s="36" t="s">
        <v>18</v>
      </c>
      <c r="C27" s="36" t="s">
        <v>197</v>
      </c>
      <c r="D27" s="41"/>
      <c r="E27" s="48">
        <f>D26/1000</f>
        <v>17</v>
      </c>
      <c r="F27" s="41"/>
      <c r="G27" s="48">
        <f>F26/1000</f>
        <v>19</v>
      </c>
      <c r="H27" s="30"/>
      <c r="I27" s="30"/>
    </row>
    <row r="28">
      <c r="A28" s="36"/>
      <c r="B28" s="36" t="s">
        <v>191</v>
      </c>
      <c r="C28" s="36" t="s">
        <v>198</v>
      </c>
      <c r="D28" s="46">
        <v>0.3</v>
      </c>
      <c r="E28" s="39"/>
      <c r="F28" s="46">
        <v>0.25</v>
      </c>
      <c r="G28" s="39"/>
      <c r="H28" s="30"/>
      <c r="I28" s="30"/>
    </row>
    <row r="29">
      <c r="A29" s="36" t="s">
        <v>199</v>
      </c>
      <c r="B29" s="30"/>
      <c r="C29" s="36" t="s">
        <v>200</v>
      </c>
      <c r="D29" s="49">
        <f>D26*D28</f>
        <v>5100</v>
      </c>
      <c r="E29" s="50">
        <f>D29/1000</f>
        <v>5.1</v>
      </c>
      <c r="F29" s="49">
        <f>F26*F28</f>
        <v>4750</v>
      </c>
      <c r="G29" s="50">
        <f>F29/1000</f>
        <v>4.75</v>
      </c>
      <c r="H29" s="36"/>
      <c r="I29" s="30"/>
    </row>
    <row r="30">
      <c r="A30" s="36" t="s">
        <v>201</v>
      </c>
      <c r="B30" s="36" t="s">
        <v>202</v>
      </c>
      <c r="C30" s="40" t="s">
        <v>203</v>
      </c>
      <c r="D30" s="41"/>
      <c r="E30" s="50">
        <f>E29+E27+E17</f>
        <v>502.1</v>
      </c>
      <c r="F30" s="41"/>
      <c r="G30" s="50">
        <f>G29+G27+G17</f>
        <v>23.75</v>
      </c>
      <c r="H30" s="30"/>
      <c r="I30" s="30"/>
    </row>
    <row r="31">
      <c r="A31" s="36" t="s">
        <v>204</v>
      </c>
      <c r="B31" s="36" t="s">
        <v>205</v>
      </c>
      <c r="C31" s="36" t="s">
        <v>206</v>
      </c>
      <c r="D31" s="41"/>
      <c r="E31" s="50">
        <f>E30*D22</f>
        <v>42176.4</v>
      </c>
      <c r="F31" s="41"/>
      <c r="G31" s="50">
        <f>G30*(F22+G25)</f>
        <v>363649.8706</v>
      </c>
      <c r="H31" s="30"/>
      <c r="I31" s="30"/>
    </row>
    <row r="32">
      <c r="A32" s="30"/>
      <c r="B32" s="40" t="s">
        <v>207</v>
      </c>
      <c r="C32" s="40" t="s">
        <v>208</v>
      </c>
      <c r="D32" s="31"/>
      <c r="E32" s="39"/>
      <c r="F32" s="31"/>
      <c r="G32" s="39"/>
      <c r="H32" s="30"/>
      <c r="I32" s="30"/>
    </row>
    <row r="33">
      <c r="A33" s="30"/>
      <c r="B33" s="36" t="s">
        <v>209</v>
      </c>
      <c r="C33" s="36" t="s">
        <v>210</v>
      </c>
      <c r="D33" s="38">
        <v>7.0</v>
      </c>
      <c r="E33" s="39"/>
      <c r="F33" s="38">
        <v>7.0</v>
      </c>
      <c r="G33" s="39"/>
      <c r="H33" s="30"/>
      <c r="I33" s="30"/>
    </row>
    <row r="34">
      <c r="A34" s="30"/>
      <c r="B34" s="36" t="s">
        <v>205</v>
      </c>
      <c r="C34" s="36" t="s">
        <v>211</v>
      </c>
      <c r="D34" s="38">
        <v>2.0</v>
      </c>
      <c r="E34" s="39"/>
      <c r="F34" s="38">
        <v>2.0</v>
      </c>
      <c r="G34" s="39"/>
      <c r="H34" s="30"/>
      <c r="I34" s="30"/>
    </row>
    <row r="35">
      <c r="A35" s="51"/>
      <c r="B35" s="40" t="s">
        <v>205</v>
      </c>
      <c r="C35" s="40" t="s">
        <v>212</v>
      </c>
      <c r="D35" s="52"/>
      <c r="E35" s="50">
        <f>D34*D33</f>
        <v>14</v>
      </c>
      <c r="F35" s="52"/>
      <c r="G35" s="50">
        <f>F34*F33</f>
        <v>14</v>
      </c>
      <c r="H35" s="30"/>
      <c r="I35" s="30"/>
    </row>
    <row r="36">
      <c r="A36" s="30"/>
      <c r="B36" s="30"/>
      <c r="C36" s="40" t="s">
        <v>213</v>
      </c>
      <c r="D36" s="41"/>
      <c r="E36" s="50">
        <f>E35+E31</f>
        <v>42190.4</v>
      </c>
      <c r="F36" s="41"/>
      <c r="G36" s="50">
        <f>G35+G31</f>
        <v>363663.8706</v>
      </c>
      <c r="H36" s="30"/>
      <c r="I36" s="30"/>
    </row>
    <row r="37">
      <c r="A37" s="51"/>
      <c r="B37" s="40" t="s">
        <v>214</v>
      </c>
      <c r="C37" s="40" t="s">
        <v>215</v>
      </c>
      <c r="D37" s="53"/>
      <c r="E37" s="54"/>
      <c r="F37" s="53"/>
      <c r="G37" s="54"/>
      <c r="H37" s="51"/>
      <c r="I37" s="51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</row>
    <row r="38">
      <c r="A38" s="30"/>
      <c r="B38" s="40" t="s">
        <v>216</v>
      </c>
      <c r="C38" s="40" t="s">
        <v>217</v>
      </c>
      <c r="D38" s="31"/>
      <c r="E38" s="39"/>
      <c r="F38" s="31"/>
      <c r="G38" s="39"/>
      <c r="H38" s="30"/>
      <c r="I38" s="30"/>
    </row>
    <row r="39">
      <c r="A39" s="30"/>
      <c r="B39" s="36" t="s">
        <v>209</v>
      </c>
      <c r="C39" s="36" t="s">
        <v>218</v>
      </c>
      <c r="D39" s="38">
        <v>12.0</v>
      </c>
      <c r="E39" s="39"/>
      <c r="F39" s="38">
        <v>12.0</v>
      </c>
      <c r="G39" s="39"/>
      <c r="H39" s="30"/>
      <c r="I39" s="30"/>
    </row>
    <row r="40">
      <c r="A40" s="30"/>
      <c r="B40" s="30"/>
      <c r="C40" s="36" t="s">
        <v>219</v>
      </c>
      <c r="D40" s="38">
        <v>10.0</v>
      </c>
      <c r="E40" s="39"/>
      <c r="F40" s="38">
        <v>10.0</v>
      </c>
      <c r="G40" s="39"/>
      <c r="H40" s="30"/>
      <c r="I40" s="30"/>
    </row>
    <row r="41">
      <c r="A41" s="30"/>
      <c r="B41" s="30"/>
      <c r="C41" s="36" t="s">
        <v>220</v>
      </c>
      <c r="D41" s="38">
        <v>11.0</v>
      </c>
      <c r="E41" s="39"/>
      <c r="F41" s="38">
        <v>11.0</v>
      </c>
      <c r="G41" s="39"/>
      <c r="H41" s="30"/>
      <c r="I41" s="30"/>
    </row>
    <row r="42">
      <c r="A42" s="30"/>
      <c r="B42" s="30"/>
      <c r="C42" s="36" t="s">
        <v>221</v>
      </c>
      <c r="D42" s="38">
        <v>9.0</v>
      </c>
      <c r="E42" s="39"/>
      <c r="F42" s="38">
        <v>9.0</v>
      </c>
      <c r="G42" s="39"/>
      <c r="H42" s="30"/>
      <c r="I42" s="30"/>
    </row>
    <row r="43">
      <c r="A43" s="30"/>
      <c r="B43" s="40" t="s">
        <v>222</v>
      </c>
      <c r="C43" s="40" t="s">
        <v>223</v>
      </c>
      <c r="D43" s="56">
        <v>10.0</v>
      </c>
      <c r="E43" s="39"/>
      <c r="F43" s="56">
        <v>10.0</v>
      </c>
      <c r="G43" s="39"/>
      <c r="H43" s="30"/>
      <c r="I43" s="30"/>
    </row>
    <row r="44">
      <c r="A44" s="30"/>
      <c r="B44" s="30"/>
      <c r="C44" s="36" t="s">
        <v>224</v>
      </c>
      <c r="D44" s="46">
        <v>0.25</v>
      </c>
      <c r="E44" s="50">
        <f>D43+(D43*D44)</f>
        <v>12.5</v>
      </c>
      <c r="F44" s="46">
        <v>0.25</v>
      </c>
      <c r="G44" s="50">
        <f>F43+(F43*F44)</f>
        <v>12.5</v>
      </c>
      <c r="H44" s="30"/>
      <c r="I44" s="30"/>
    </row>
    <row r="45">
      <c r="A45" s="30"/>
      <c r="B45" s="30"/>
      <c r="C45" s="40" t="s">
        <v>225</v>
      </c>
      <c r="D45" s="41"/>
      <c r="E45" s="50">
        <f>E44+E36</f>
        <v>42202.9</v>
      </c>
      <c r="F45" s="41"/>
      <c r="G45" s="50">
        <f>G44+G36</f>
        <v>363676.3706</v>
      </c>
      <c r="H45" s="30"/>
      <c r="I45" s="30"/>
    </row>
    <row r="46">
      <c r="A46" s="30"/>
      <c r="B46" s="30"/>
      <c r="C46" s="36" t="s">
        <v>124</v>
      </c>
      <c r="D46" s="46">
        <v>0.03</v>
      </c>
      <c r="E46" s="50">
        <f>E45*D46</f>
        <v>1266.087</v>
      </c>
      <c r="F46" s="46">
        <v>0.03</v>
      </c>
      <c r="G46" s="50">
        <f>G45*F46</f>
        <v>10910.29112</v>
      </c>
      <c r="H46" s="30"/>
      <c r="I46" s="30"/>
    </row>
    <row r="47">
      <c r="A47" s="30"/>
      <c r="B47" s="30"/>
      <c r="C47" s="40" t="s">
        <v>226</v>
      </c>
      <c r="D47" s="52"/>
      <c r="E47" s="50">
        <f>E46+E45</f>
        <v>43468.987</v>
      </c>
      <c r="F47" s="52"/>
      <c r="G47" s="50">
        <f>G46+G45</f>
        <v>374586.6617</v>
      </c>
      <c r="H47" s="30"/>
      <c r="I47" s="30"/>
    </row>
    <row r="48">
      <c r="A48" s="30"/>
      <c r="B48" s="30"/>
      <c r="C48" s="40" t="s">
        <v>227</v>
      </c>
      <c r="D48" s="41"/>
      <c r="E48" s="50">
        <f>E47*D4</f>
        <v>1086724.675</v>
      </c>
      <c r="F48" s="41"/>
      <c r="G48" s="50">
        <f>G47*F4</f>
        <v>749173.3235</v>
      </c>
      <c r="H48" s="30"/>
      <c r="I48" s="30"/>
    </row>
    <row r="49">
      <c r="C49" s="1"/>
      <c r="D49" s="57"/>
      <c r="E49" s="58"/>
      <c r="F49" s="57"/>
      <c r="G49" s="58"/>
    </row>
    <row r="50">
      <c r="C50" s="1" t="s">
        <v>228</v>
      </c>
      <c r="D50" s="57"/>
      <c r="E50" s="58"/>
      <c r="F50" s="57"/>
      <c r="G50" s="58"/>
    </row>
    <row r="51">
      <c r="C51" s="1" t="s">
        <v>229</v>
      </c>
      <c r="D51" s="57"/>
      <c r="E51" s="58"/>
      <c r="F51" s="57"/>
      <c r="G51" s="58"/>
    </row>
    <row r="52">
      <c r="C52" s="1" t="s">
        <v>230</v>
      </c>
      <c r="D52" s="57"/>
      <c r="E52" s="58"/>
      <c r="F52" s="57"/>
      <c r="G52" s="58"/>
    </row>
    <row r="53">
      <c r="D53" s="57"/>
      <c r="E53" s="58"/>
      <c r="F53" s="57"/>
      <c r="G53" s="58"/>
    </row>
    <row r="54">
      <c r="D54" s="57"/>
      <c r="E54" s="58"/>
      <c r="F54" s="57"/>
      <c r="G54" s="58"/>
    </row>
    <row r="55">
      <c r="D55" s="57"/>
      <c r="E55" s="58"/>
      <c r="F55" s="57"/>
      <c r="G55" s="58"/>
    </row>
    <row r="56">
      <c r="D56" s="57"/>
      <c r="E56" s="58"/>
      <c r="F56" s="57"/>
      <c r="G56" s="58"/>
    </row>
    <row r="57">
      <c r="D57" s="57"/>
      <c r="E57" s="58"/>
      <c r="F57" s="57"/>
      <c r="G57" s="58"/>
    </row>
    <row r="58">
      <c r="D58" s="57"/>
      <c r="E58" s="58"/>
      <c r="F58" s="57"/>
      <c r="G58" s="58"/>
    </row>
    <row r="59">
      <c r="D59" s="57"/>
      <c r="E59" s="58"/>
      <c r="F59" s="57"/>
      <c r="G59" s="58"/>
    </row>
    <row r="60">
      <c r="D60" s="57"/>
      <c r="E60" s="58"/>
      <c r="F60" s="57"/>
      <c r="G60" s="58"/>
    </row>
    <row r="61">
      <c r="D61" s="57"/>
      <c r="E61" s="58"/>
      <c r="F61" s="57"/>
      <c r="G61" s="58"/>
    </row>
    <row r="62">
      <c r="D62" s="57"/>
      <c r="E62" s="58"/>
      <c r="F62" s="57"/>
      <c r="G62" s="58"/>
    </row>
    <row r="63">
      <c r="D63" s="57"/>
      <c r="E63" s="58"/>
      <c r="F63" s="57"/>
      <c r="G63" s="58"/>
    </row>
    <row r="64">
      <c r="D64" s="57"/>
      <c r="E64" s="58"/>
      <c r="F64" s="57"/>
      <c r="G64" s="58"/>
    </row>
    <row r="65">
      <c r="D65" s="57"/>
      <c r="E65" s="58"/>
      <c r="F65" s="57"/>
      <c r="G65" s="58"/>
    </row>
    <row r="66">
      <c r="D66" s="57"/>
      <c r="E66" s="58"/>
      <c r="F66" s="57"/>
      <c r="G66" s="58"/>
    </row>
    <row r="67">
      <c r="D67" s="57"/>
      <c r="E67" s="58"/>
      <c r="F67" s="57"/>
      <c r="G67" s="58"/>
    </row>
    <row r="68">
      <c r="D68" s="57"/>
      <c r="E68" s="58"/>
      <c r="F68" s="57"/>
      <c r="G68" s="58"/>
    </row>
    <row r="69">
      <c r="D69" s="57"/>
      <c r="E69" s="58"/>
      <c r="F69" s="57"/>
      <c r="G69" s="58"/>
    </row>
    <row r="70">
      <c r="D70" s="57"/>
      <c r="E70" s="58"/>
      <c r="F70" s="57"/>
      <c r="G70" s="58"/>
    </row>
    <row r="71">
      <c r="D71" s="57"/>
      <c r="E71" s="58"/>
      <c r="F71" s="57"/>
      <c r="G71" s="58"/>
    </row>
    <row r="72">
      <c r="D72" s="57"/>
      <c r="E72" s="58"/>
      <c r="F72" s="57"/>
      <c r="G72" s="58"/>
    </row>
    <row r="73">
      <c r="D73" s="57"/>
      <c r="E73" s="58"/>
      <c r="F73" s="57"/>
      <c r="G73" s="58"/>
    </row>
    <row r="74">
      <c r="D74" s="57"/>
      <c r="E74" s="58"/>
      <c r="F74" s="57"/>
      <c r="G74" s="58"/>
    </row>
    <row r="75">
      <c r="D75" s="57"/>
      <c r="E75" s="58"/>
      <c r="F75" s="57"/>
      <c r="G75" s="58"/>
    </row>
    <row r="76">
      <c r="D76" s="57"/>
      <c r="E76" s="58"/>
      <c r="F76" s="57"/>
      <c r="G76" s="58"/>
    </row>
    <row r="77">
      <c r="D77" s="57"/>
      <c r="E77" s="58"/>
      <c r="F77" s="57"/>
      <c r="G77" s="58"/>
    </row>
    <row r="78">
      <c r="D78" s="57"/>
      <c r="E78" s="58"/>
      <c r="F78" s="57"/>
      <c r="G78" s="58"/>
    </row>
    <row r="79">
      <c r="D79" s="57"/>
      <c r="E79" s="58"/>
      <c r="F79" s="57"/>
      <c r="G79" s="58"/>
    </row>
    <row r="80">
      <c r="D80" s="57"/>
      <c r="E80" s="58"/>
      <c r="F80" s="57"/>
      <c r="G80" s="58"/>
    </row>
    <row r="81">
      <c r="D81" s="57"/>
      <c r="E81" s="58"/>
      <c r="F81" s="57"/>
      <c r="G81" s="58"/>
    </row>
    <row r="82">
      <c r="D82" s="57"/>
      <c r="E82" s="58"/>
      <c r="F82" s="57"/>
      <c r="G82" s="58"/>
    </row>
    <row r="83">
      <c r="D83" s="57"/>
      <c r="E83" s="58"/>
      <c r="F83" s="57"/>
      <c r="G83" s="58"/>
    </row>
    <row r="84">
      <c r="D84" s="57"/>
      <c r="E84" s="58"/>
      <c r="F84" s="57"/>
      <c r="G84" s="58"/>
    </row>
    <row r="85">
      <c r="D85" s="57"/>
      <c r="E85" s="58"/>
      <c r="F85" s="57"/>
      <c r="G85" s="58"/>
    </row>
    <row r="86">
      <c r="D86" s="57"/>
      <c r="E86" s="58"/>
      <c r="F86" s="57"/>
      <c r="G86" s="58"/>
    </row>
    <row r="87">
      <c r="D87" s="57"/>
      <c r="E87" s="58"/>
      <c r="F87" s="57"/>
      <c r="G87" s="58"/>
    </row>
    <row r="88">
      <c r="D88" s="57"/>
      <c r="E88" s="58"/>
      <c r="F88" s="57"/>
      <c r="G88" s="58"/>
    </row>
    <row r="89">
      <c r="D89" s="57"/>
      <c r="E89" s="58"/>
      <c r="F89" s="57"/>
      <c r="G89" s="58"/>
    </row>
    <row r="90">
      <c r="D90" s="57"/>
      <c r="E90" s="58"/>
      <c r="F90" s="57"/>
      <c r="G90" s="58"/>
    </row>
    <row r="91">
      <c r="D91" s="57"/>
      <c r="E91" s="58"/>
      <c r="F91" s="57"/>
      <c r="G91" s="58"/>
    </row>
    <row r="92">
      <c r="D92" s="57"/>
      <c r="E92" s="58"/>
      <c r="F92" s="57"/>
      <c r="G92" s="58"/>
    </row>
    <row r="93">
      <c r="D93" s="57"/>
      <c r="E93" s="58"/>
      <c r="F93" s="57"/>
      <c r="G93" s="58"/>
    </row>
    <row r="94">
      <c r="D94" s="57"/>
      <c r="E94" s="58"/>
      <c r="F94" s="57"/>
      <c r="G94" s="58"/>
    </row>
    <row r="95">
      <c r="D95" s="57"/>
      <c r="E95" s="58"/>
      <c r="F95" s="57"/>
      <c r="G95" s="58"/>
    </row>
    <row r="96">
      <c r="D96" s="57"/>
      <c r="E96" s="58"/>
      <c r="F96" s="57"/>
      <c r="G96" s="58"/>
    </row>
    <row r="97">
      <c r="D97" s="57"/>
      <c r="E97" s="58"/>
      <c r="F97" s="57"/>
      <c r="G97" s="58"/>
    </row>
    <row r="98">
      <c r="D98" s="57"/>
      <c r="E98" s="58"/>
      <c r="F98" s="57"/>
      <c r="G98" s="58"/>
    </row>
    <row r="99">
      <c r="D99" s="57"/>
      <c r="E99" s="58"/>
      <c r="F99" s="57"/>
      <c r="G99" s="58"/>
    </row>
    <row r="100">
      <c r="D100" s="57"/>
      <c r="E100" s="58"/>
      <c r="F100" s="57"/>
      <c r="G100" s="58"/>
    </row>
    <row r="101">
      <c r="D101" s="57"/>
      <c r="E101" s="58"/>
      <c r="F101" s="57"/>
      <c r="G101" s="58"/>
    </row>
    <row r="102">
      <c r="D102" s="57"/>
      <c r="E102" s="58"/>
      <c r="F102" s="57"/>
      <c r="G102" s="58"/>
    </row>
    <row r="103">
      <c r="D103" s="57"/>
      <c r="E103" s="58"/>
      <c r="F103" s="57"/>
      <c r="G103" s="58"/>
    </row>
    <row r="104">
      <c r="D104" s="57"/>
      <c r="E104" s="58"/>
      <c r="F104" s="57"/>
      <c r="G104" s="58"/>
    </row>
    <row r="105">
      <c r="D105" s="57"/>
      <c r="E105" s="58"/>
      <c r="F105" s="57"/>
      <c r="G105" s="58"/>
    </row>
    <row r="106">
      <c r="D106" s="57"/>
      <c r="E106" s="58"/>
      <c r="F106" s="57"/>
      <c r="G106" s="58"/>
    </row>
    <row r="107">
      <c r="D107" s="57"/>
      <c r="E107" s="58"/>
      <c r="F107" s="57"/>
      <c r="G107" s="58"/>
    </row>
    <row r="108">
      <c r="D108" s="57"/>
      <c r="E108" s="58"/>
      <c r="F108" s="57"/>
      <c r="G108" s="58"/>
    </row>
    <row r="109">
      <c r="D109" s="57"/>
      <c r="E109" s="58"/>
      <c r="F109" s="57"/>
      <c r="G109" s="58"/>
    </row>
    <row r="110">
      <c r="D110" s="57"/>
      <c r="E110" s="58"/>
      <c r="F110" s="57"/>
      <c r="G110" s="58"/>
    </row>
    <row r="111">
      <c r="D111" s="57"/>
      <c r="E111" s="58"/>
      <c r="F111" s="57"/>
      <c r="G111" s="58"/>
    </row>
    <row r="112">
      <c r="D112" s="57"/>
      <c r="E112" s="58"/>
      <c r="F112" s="57"/>
      <c r="G112" s="58"/>
    </row>
    <row r="113">
      <c r="D113" s="57"/>
      <c r="E113" s="58"/>
      <c r="F113" s="57"/>
      <c r="G113" s="58"/>
    </row>
    <row r="114">
      <c r="D114" s="57"/>
      <c r="E114" s="58"/>
      <c r="F114" s="57"/>
      <c r="G114" s="58"/>
    </row>
    <row r="115">
      <c r="D115" s="57"/>
      <c r="E115" s="58"/>
      <c r="F115" s="57"/>
      <c r="G115" s="58"/>
    </row>
    <row r="116">
      <c r="D116" s="57"/>
      <c r="E116" s="58"/>
      <c r="F116" s="57"/>
      <c r="G116" s="58"/>
    </row>
    <row r="117">
      <c r="D117" s="57"/>
      <c r="E117" s="58"/>
      <c r="F117" s="57"/>
      <c r="G117" s="58"/>
    </row>
    <row r="118">
      <c r="D118" s="57"/>
      <c r="E118" s="58"/>
      <c r="F118" s="57"/>
      <c r="G118" s="58"/>
    </row>
    <row r="119">
      <c r="D119" s="57"/>
      <c r="E119" s="58"/>
      <c r="F119" s="57"/>
      <c r="G119" s="58"/>
    </row>
    <row r="120">
      <c r="D120" s="57"/>
      <c r="E120" s="58"/>
      <c r="F120" s="57"/>
      <c r="G120" s="58"/>
    </row>
    <row r="121">
      <c r="D121" s="57"/>
      <c r="E121" s="58"/>
      <c r="F121" s="57"/>
      <c r="G121" s="58"/>
    </row>
    <row r="122">
      <c r="D122" s="57"/>
      <c r="E122" s="58"/>
      <c r="F122" s="57"/>
      <c r="G122" s="58"/>
    </row>
    <row r="123">
      <c r="D123" s="57"/>
      <c r="E123" s="58"/>
      <c r="F123" s="57"/>
      <c r="G123" s="58"/>
    </row>
    <row r="124">
      <c r="D124" s="57"/>
      <c r="E124" s="58"/>
      <c r="F124" s="57"/>
      <c r="G124" s="58"/>
    </row>
    <row r="125">
      <c r="D125" s="57"/>
      <c r="E125" s="58"/>
      <c r="F125" s="57"/>
      <c r="G125" s="58"/>
    </row>
    <row r="126">
      <c r="D126" s="57"/>
      <c r="E126" s="58"/>
      <c r="F126" s="57"/>
      <c r="G126" s="58"/>
    </row>
    <row r="127">
      <c r="D127" s="57"/>
      <c r="E127" s="58"/>
      <c r="F127" s="57"/>
      <c r="G127" s="58"/>
    </row>
    <row r="128">
      <c r="D128" s="57"/>
      <c r="E128" s="58"/>
      <c r="F128" s="57"/>
      <c r="G128" s="58"/>
    </row>
    <row r="129">
      <c r="D129" s="57"/>
      <c r="E129" s="58"/>
      <c r="F129" s="57"/>
      <c r="G129" s="58"/>
    </row>
    <row r="130">
      <c r="D130" s="57"/>
      <c r="E130" s="58"/>
      <c r="F130" s="57"/>
      <c r="G130" s="58"/>
    </row>
    <row r="131">
      <c r="D131" s="57"/>
      <c r="E131" s="58"/>
      <c r="F131" s="57"/>
      <c r="G131" s="58"/>
    </row>
    <row r="132">
      <c r="D132" s="57"/>
      <c r="E132" s="58"/>
      <c r="F132" s="57"/>
      <c r="G132" s="58"/>
    </row>
    <row r="133">
      <c r="D133" s="57"/>
      <c r="E133" s="58"/>
      <c r="F133" s="57"/>
      <c r="G133" s="58"/>
    </row>
    <row r="134">
      <c r="D134" s="57"/>
      <c r="E134" s="58"/>
      <c r="F134" s="57"/>
      <c r="G134" s="58"/>
    </row>
    <row r="135">
      <c r="D135" s="57"/>
      <c r="E135" s="58"/>
      <c r="F135" s="57"/>
      <c r="G135" s="58"/>
    </row>
    <row r="136">
      <c r="D136" s="57"/>
      <c r="E136" s="58"/>
      <c r="F136" s="57"/>
      <c r="G136" s="58"/>
    </row>
    <row r="137">
      <c r="D137" s="57"/>
      <c r="E137" s="58"/>
      <c r="F137" s="57"/>
      <c r="G137" s="58"/>
    </row>
    <row r="138">
      <c r="D138" s="57"/>
      <c r="E138" s="58"/>
      <c r="F138" s="57"/>
      <c r="G138" s="58"/>
    </row>
    <row r="139">
      <c r="D139" s="57"/>
      <c r="E139" s="58"/>
      <c r="F139" s="57"/>
      <c r="G139" s="58"/>
    </row>
    <row r="140">
      <c r="D140" s="57"/>
      <c r="E140" s="58"/>
      <c r="F140" s="57"/>
      <c r="G140" s="58"/>
    </row>
    <row r="141">
      <c r="D141" s="57"/>
      <c r="E141" s="58"/>
      <c r="F141" s="57"/>
      <c r="G141" s="58"/>
    </row>
    <row r="142">
      <c r="D142" s="57"/>
      <c r="E142" s="58"/>
      <c r="F142" s="57"/>
      <c r="G142" s="58"/>
    </row>
    <row r="143">
      <c r="D143" s="57"/>
      <c r="E143" s="58"/>
      <c r="F143" s="57"/>
      <c r="G143" s="58"/>
    </row>
    <row r="144">
      <c r="D144" s="57"/>
      <c r="E144" s="58"/>
      <c r="F144" s="57"/>
      <c r="G144" s="58"/>
    </row>
    <row r="145">
      <c r="D145" s="57"/>
      <c r="E145" s="58"/>
      <c r="F145" s="57"/>
      <c r="G145" s="58"/>
    </row>
    <row r="146">
      <c r="D146" s="57"/>
      <c r="E146" s="58"/>
      <c r="F146" s="57"/>
      <c r="G146" s="58"/>
    </row>
    <row r="147">
      <c r="D147" s="57"/>
      <c r="E147" s="58"/>
      <c r="F147" s="57"/>
      <c r="G147" s="58"/>
    </row>
    <row r="148">
      <c r="D148" s="57"/>
      <c r="E148" s="58"/>
      <c r="F148" s="57"/>
      <c r="G148" s="58"/>
    </row>
    <row r="149">
      <c r="D149" s="57"/>
      <c r="E149" s="58"/>
      <c r="F149" s="57"/>
      <c r="G149" s="58"/>
    </row>
    <row r="150">
      <c r="D150" s="57"/>
      <c r="E150" s="58"/>
      <c r="F150" s="57"/>
      <c r="G150" s="58"/>
    </row>
    <row r="151">
      <c r="D151" s="57"/>
      <c r="E151" s="58"/>
      <c r="F151" s="57"/>
      <c r="G151" s="58"/>
    </row>
    <row r="152">
      <c r="D152" s="57"/>
      <c r="E152" s="58"/>
      <c r="F152" s="57"/>
      <c r="G152" s="58"/>
    </row>
    <row r="153">
      <c r="D153" s="57"/>
      <c r="E153" s="58"/>
      <c r="F153" s="57"/>
      <c r="G153" s="58"/>
    </row>
    <row r="154">
      <c r="D154" s="57"/>
      <c r="E154" s="58"/>
      <c r="F154" s="57"/>
      <c r="G154" s="58"/>
    </row>
    <row r="155">
      <c r="D155" s="57"/>
      <c r="E155" s="58"/>
      <c r="F155" s="57"/>
      <c r="G155" s="58"/>
    </row>
    <row r="156">
      <c r="D156" s="57"/>
      <c r="E156" s="58"/>
      <c r="F156" s="57"/>
      <c r="G156" s="58"/>
    </row>
    <row r="157">
      <c r="D157" s="57"/>
      <c r="E157" s="58"/>
      <c r="F157" s="57"/>
      <c r="G157" s="58"/>
    </row>
    <row r="158">
      <c r="D158" s="57"/>
      <c r="E158" s="58"/>
      <c r="F158" s="57"/>
      <c r="G158" s="58"/>
    </row>
    <row r="159">
      <c r="D159" s="57"/>
      <c r="E159" s="58"/>
      <c r="F159" s="57"/>
      <c r="G159" s="58"/>
    </row>
    <row r="160">
      <c r="D160" s="57"/>
      <c r="E160" s="58"/>
      <c r="F160" s="57"/>
      <c r="G160" s="58"/>
    </row>
    <row r="161">
      <c r="D161" s="57"/>
      <c r="E161" s="58"/>
      <c r="F161" s="57"/>
      <c r="G161" s="58"/>
    </row>
    <row r="162">
      <c r="D162" s="57"/>
      <c r="E162" s="58"/>
      <c r="F162" s="57"/>
      <c r="G162" s="58"/>
    </row>
    <row r="163">
      <c r="D163" s="57"/>
      <c r="E163" s="58"/>
      <c r="F163" s="57"/>
      <c r="G163" s="58"/>
    </row>
    <row r="164">
      <c r="D164" s="57"/>
      <c r="E164" s="58"/>
      <c r="F164" s="57"/>
      <c r="G164" s="58"/>
    </row>
    <row r="165">
      <c r="D165" s="57"/>
      <c r="E165" s="58"/>
      <c r="F165" s="57"/>
      <c r="G165" s="58"/>
    </row>
    <row r="166">
      <c r="D166" s="57"/>
      <c r="E166" s="58"/>
      <c r="F166" s="57"/>
      <c r="G166" s="58"/>
    </row>
    <row r="167">
      <c r="D167" s="57"/>
      <c r="E167" s="58"/>
      <c r="F167" s="57"/>
      <c r="G167" s="58"/>
    </row>
    <row r="168">
      <c r="D168" s="57"/>
      <c r="E168" s="58"/>
      <c r="F168" s="57"/>
      <c r="G168" s="58"/>
    </row>
    <row r="169">
      <c r="D169" s="57"/>
      <c r="E169" s="58"/>
      <c r="F169" s="57"/>
      <c r="G169" s="58"/>
    </row>
    <row r="170">
      <c r="D170" s="57"/>
      <c r="E170" s="58"/>
      <c r="F170" s="57"/>
      <c r="G170" s="58"/>
    </row>
    <row r="171">
      <c r="D171" s="57"/>
      <c r="E171" s="58"/>
      <c r="F171" s="57"/>
      <c r="G171" s="58"/>
    </row>
    <row r="172">
      <c r="D172" s="57"/>
      <c r="E172" s="58"/>
      <c r="F172" s="57"/>
      <c r="G172" s="58"/>
    </row>
    <row r="173">
      <c r="D173" s="57"/>
      <c r="E173" s="58"/>
      <c r="F173" s="57"/>
      <c r="G173" s="58"/>
    </row>
    <row r="174">
      <c r="D174" s="57"/>
      <c r="E174" s="58"/>
      <c r="F174" s="57"/>
      <c r="G174" s="58"/>
    </row>
    <row r="175">
      <c r="D175" s="57"/>
      <c r="E175" s="58"/>
      <c r="F175" s="57"/>
      <c r="G175" s="58"/>
    </row>
    <row r="176">
      <c r="D176" s="57"/>
      <c r="E176" s="58"/>
      <c r="F176" s="57"/>
      <c r="G176" s="58"/>
    </row>
    <row r="177">
      <c r="D177" s="57"/>
      <c r="E177" s="58"/>
      <c r="F177" s="57"/>
      <c r="G177" s="58"/>
    </row>
    <row r="178">
      <c r="D178" s="57"/>
      <c r="E178" s="58"/>
      <c r="F178" s="57"/>
      <c r="G178" s="58"/>
    </row>
    <row r="179">
      <c r="D179" s="57"/>
      <c r="E179" s="58"/>
      <c r="F179" s="57"/>
      <c r="G179" s="58"/>
    </row>
    <row r="180">
      <c r="D180" s="57"/>
      <c r="E180" s="58"/>
      <c r="F180" s="57"/>
      <c r="G180" s="58"/>
    </row>
    <row r="181">
      <c r="D181" s="57"/>
      <c r="E181" s="58"/>
      <c r="F181" s="57"/>
      <c r="G181" s="58"/>
    </row>
    <row r="182">
      <c r="D182" s="57"/>
      <c r="E182" s="58"/>
      <c r="F182" s="57"/>
      <c r="G182" s="58"/>
    </row>
    <row r="183">
      <c r="D183" s="57"/>
      <c r="E183" s="58"/>
      <c r="F183" s="57"/>
      <c r="G183" s="58"/>
    </row>
    <row r="184">
      <c r="D184" s="57"/>
      <c r="E184" s="58"/>
      <c r="F184" s="57"/>
      <c r="G184" s="58"/>
    </row>
    <row r="185">
      <c r="D185" s="57"/>
      <c r="E185" s="58"/>
      <c r="F185" s="57"/>
      <c r="G185" s="58"/>
    </row>
    <row r="186">
      <c r="D186" s="57"/>
      <c r="E186" s="58"/>
      <c r="F186" s="57"/>
      <c r="G186" s="58"/>
    </row>
    <row r="187">
      <c r="D187" s="57"/>
      <c r="E187" s="58"/>
      <c r="F187" s="57"/>
      <c r="G187" s="58"/>
    </row>
    <row r="188">
      <c r="D188" s="57"/>
      <c r="E188" s="58"/>
      <c r="F188" s="57"/>
      <c r="G188" s="58"/>
    </row>
    <row r="189">
      <c r="D189" s="57"/>
      <c r="E189" s="58"/>
      <c r="F189" s="57"/>
      <c r="G189" s="58"/>
    </row>
    <row r="190">
      <c r="D190" s="57"/>
      <c r="E190" s="58"/>
      <c r="F190" s="57"/>
      <c r="G190" s="58"/>
    </row>
    <row r="191">
      <c r="D191" s="57"/>
      <c r="E191" s="58"/>
      <c r="F191" s="57"/>
      <c r="G191" s="58"/>
    </row>
    <row r="192">
      <c r="D192" s="57"/>
      <c r="E192" s="58"/>
      <c r="F192" s="57"/>
      <c r="G192" s="58"/>
    </row>
    <row r="193">
      <c r="D193" s="57"/>
      <c r="E193" s="58"/>
      <c r="F193" s="57"/>
      <c r="G193" s="58"/>
    </row>
    <row r="194">
      <c r="D194" s="57"/>
      <c r="E194" s="58"/>
      <c r="F194" s="57"/>
      <c r="G194" s="58"/>
    </row>
    <row r="195">
      <c r="D195" s="57"/>
      <c r="E195" s="58"/>
      <c r="F195" s="57"/>
      <c r="G195" s="58"/>
    </row>
    <row r="196">
      <c r="D196" s="57"/>
      <c r="E196" s="58"/>
      <c r="F196" s="57"/>
      <c r="G196" s="58"/>
    </row>
    <row r="197">
      <c r="D197" s="57"/>
      <c r="E197" s="58"/>
      <c r="F197" s="57"/>
      <c r="G197" s="58"/>
    </row>
    <row r="198">
      <c r="D198" s="57"/>
      <c r="E198" s="58"/>
      <c r="F198" s="57"/>
      <c r="G198" s="58"/>
    </row>
    <row r="199">
      <c r="D199" s="57"/>
      <c r="E199" s="58"/>
      <c r="F199" s="57"/>
      <c r="G199" s="58"/>
    </row>
    <row r="200">
      <c r="D200" s="57"/>
      <c r="E200" s="58"/>
      <c r="F200" s="57"/>
      <c r="G200" s="58"/>
    </row>
    <row r="201">
      <c r="D201" s="57"/>
      <c r="E201" s="58"/>
      <c r="F201" s="57"/>
      <c r="G201" s="58"/>
    </row>
    <row r="202">
      <c r="D202" s="57"/>
      <c r="E202" s="58"/>
      <c r="F202" s="57"/>
      <c r="G202" s="58"/>
    </row>
    <row r="203">
      <c r="D203" s="57"/>
      <c r="E203" s="58"/>
      <c r="F203" s="57"/>
      <c r="G203" s="58"/>
    </row>
    <row r="204">
      <c r="D204" s="57"/>
      <c r="E204" s="58"/>
      <c r="F204" s="57"/>
      <c r="G204" s="58"/>
    </row>
    <row r="205">
      <c r="D205" s="57"/>
      <c r="E205" s="58"/>
      <c r="F205" s="57"/>
      <c r="G205" s="58"/>
    </row>
    <row r="206">
      <c r="D206" s="57"/>
      <c r="E206" s="58"/>
      <c r="F206" s="57"/>
      <c r="G206" s="58"/>
    </row>
    <row r="207">
      <c r="D207" s="57"/>
      <c r="E207" s="58"/>
      <c r="F207" s="57"/>
      <c r="G207" s="58"/>
    </row>
    <row r="208">
      <c r="D208" s="57"/>
      <c r="E208" s="58"/>
      <c r="F208" s="57"/>
      <c r="G208" s="58"/>
    </row>
    <row r="209">
      <c r="D209" s="57"/>
      <c r="E209" s="58"/>
      <c r="F209" s="57"/>
      <c r="G209" s="58"/>
    </row>
    <row r="210">
      <c r="D210" s="57"/>
      <c r="E210" s="58"/>
      <c r="F210" s="57"/>
      <c r="G210" s="58"/>
    </row>
    <row r="211">
      <c r="D211" s="57"/>
      <c r="E211" s="58"/>
      <c r="F211" s="57"/>
      <c r="G211" s="58"/>
    </row>
    <row r="212">
      <c r="D212" s="57"/>
      <c r="E212" s="58"/>
      <c r="F212" s="57"/>
      <c r="G212" s="58"/>
    </row>
    <row r="213">
      <c r="D213" s="57"/>
      <c r="E213" s="58"/>
      <c r="F213" s="57"/>
      <c r="G213" s="58"/>
    </row>
    <row r="214">
      <c r="D214" s="57"/>
      <c r="E214" s="58"/>
      <c r="F214" s="57"/>
      <c r="G214" s="58"/>
    </row>
    <row r="215">
      <c r="D215" s="57"/>
      <c r="E215" s="58"/>
      <c r="F215" s="57"/>
      <c r="G215" s="58"/>
    </row>
    <row r="216">
      <c r="D216" s="57"/>
      <c r="E216" s="58"/>
      <c r="F216" s="57"/>
      <c r="G216" s="58"/>
    </row>
    <row r="217">
      <c r="D217" s="57"/>
      <c r="E217" s="58"/>
      <c r="F217" s="57"/>
      <c r="G217" s="58"/>
    </row>
    <row r="218">
      <c r="D218" s="57"/>
      <c r="E218" s="58"/>
      <c r="F218" s="57"/>
      <c r="G218" s="58"/>
    </row>
    <row r="219">
      <c r="D219" s="57"/>
      <c r="E219" s="58"/>
      <c r="F219" s="57"/>
      <c r="G219" s="58"/>
    </row>
    <row r="220">
      <c r="D220" s="57"/>
      <c r="E220" s="58"/>
      <c r="F220" s="57"/>
      <c r="G220" s="58"/>
    </row>
    <row r="221">
      <c r="D221" s="57"/>
      <c r="E221" s="58"/>
      <c r="F221" s="57"/>
      <c r="G221" s="58"/>
    </row>
    <row r="222">
      <c r="D222" s="57"/>
      <c r="E222" s="58"/>
      <c r="F222" s="57"/>
      <c r="G222" s="58"/>
    </row>
    <row r="223">
      <c r="D223" s="57"/>
      <c r="E223" s="58"/>
      <c r="F223" s="57"/>
      <c r="G223" s="58"/>
    </row>
    <row r="224">
      <c r="D224" s="57"/>
      <c r="E224" s="58"/>
      <c r="F224" s="57"/>
      <c r="G224" s="58"/>
    </row>
    <row r="225">
      <c r="D225" s="57"/>
      <c r="E225" s="58"/>
      <c r="F225" s="57"/>
      <c r="G225" s="58"/>
    </row>
    <row r="226">
      <c r="D226" s="57"/>
      <c r="E226" s="58"/>
      <c r="F226" s="57"/>
      <c r="G226" s="58"/>
    </row>
    <row r="227">
      <c r="D227" s="57"/>
      <c r="E227" s="58"/>
      <c r="F227" s="57"/>
      <c r="G227" s="58"/>
    </row>
    <row r="228">
      <c r="D228" s="57"/>
      <c r="E228" s="58"/>
      <c r="F228" s="57"/>
      <c r="G228" s="58"/>
    </row>
    <row r="229">
      <c r="D229" s="57"/>
      <c r="E229" s="58"/>
      <c r="F229" s="57"/>
      <c r="G229" s="58"/>
    </row>
    <row r="230">
      <c r="D230" s="57"/>
      <c r="E230" s="58"/>
      <c r="F230" s="57"/>
      <c r="G230" s="58"/>
    </row>
    <row r="231">
      <c r="D231" s="57"/>
      <c r="E231" s="58"/>
      <c r="F231" s="57"/>
      <c r="G231" s="58"/>
    </row>
    <row r="232">
      <c r="D232" s="57"/>
      <c r="E232" s="58"/>
      <c r="F232" s="57"/>
      <c r="G232" s="58"/>
    </row>
    <row r="233">
      <c r="D233" s="57"/>
      <c r="E233" s="58"/>
      <c r="F233" s="57"/>
      <c r="G233" s="58"/>
    </row>
    <row r="234">
      <c r="D234" s="57"/>
      <c r="E234" s="58"/>
      <c r="F234" s="57"/>
      <c r="G234" s="58"/>
    </row>
    <row r="235">
      <c r="D235" s="57"/>
      <c r="E235" s="58"/>
      <c r="F235" s="57"/>
      <c r="G235" s="58"/>
    </row>
    <row r="236">
      <c r="D236" s="57"/>
      <c r="E236" s="58"/>
      <c r="F236" s="57"/>
      <c r="G236" s="58"/>
    </row>
    <row r="237">
      <c r="D237" s="57"/>
      <c r="E237" s="58"/>
      <c r="F237" s="57"/>
      <c r="G237" s="58"/>
    </row>
    <row r="238">
      <c r="D238" s="57"/>
      <c r="E238" s="58"/>
      <c r="F238" s="57"/>
      <c r="G238" s="58"/>
    </row>
    <row r="239">
      <c r="D239" s="57"/>
      <c r="E239" s="58"/>
      <c r="F239" s="57"/>
      <c r="G239" s="58"/>
    </row>
    <row r="240">
      <c r="D240" s="57"/>
      <c r="E240" s="58"/>
      <c r="F240" s="57"/>
      <c r="G240" s="58"/>
    </row>
    <row r="241">
      <c r="D241" s="57"/>
      <c r="E241" s="58"/>
      <c r="F241" s="57"/>
      <c r="G241" s="58"/>
    </row>
    <row r="242">
      <c r="D242" s="57"/>
      <c r="E242" s="58"/>
      <c r="F242" s="57"/>
      <c r="G242" s="58"/>
    </row>
    <row r="243">
      <c r="D243" s="57"/>
      <c r="E243" s="58"/>
      <c r="F243" s="57"/>
      <c r="G243" s="58"/>
    </row>
    <row r="244">
      <c r="D244" s="57"/>
      <c r="E244" s="58"/>
      <c r="F244" s="57"/>
      <c r="G244" s="58"/>
    </row>
    <row r="245">
      <c r="D245" s="57"/>
      <c r="E245" s="58"/>
      <c r="F245" s="57"/>
      <c r="G245" s="58"/>
    </row>
    <row r="246">
      <c r="D246" s="57"/>
      <c r="E246" s="58"/>
      <c r="F246" s="57"/>
      <c r="G246" s="58"/>
    </row>
    <row r="247">
      <c r="D247" s="57"/>
      <c r="E247" s="58"/>
      <c r="F247" s="57"/>
      <c r="G247" s="58"/>
    </row>
    <row r="248">
      <c r="D248" s="57"/>
      <c r="E248" s="58"/>
      <c r="F248" s="57"/>
      <c r="G248" s="58"/>
    </row>
    <row r="249">
      <c r="D249" s="57"/>
      <c r="E249" s="58"/>
      <c r="F249" s="57"/>
      <c r="G249" s="58"/>
    </row>
    <row r="250">
      <c r="D250" s="57"/>
      <c r="E250" s="58"/>
      <c r="F250" s="57"/>
      <c r="G250" s="58"/>
    </row>
    <row r="251">
      <c r="D251" s="57"/>
      <c r="E251" s="58"/>
      <c r="F251" s="57"/>
      <c r="G251" s="58"/>
    </row>
    <row r="252">
      <c r="D252" s="57"/>
      <c r="E252" s="58"/>
      <c r="F252" s="57"/>
      <c r="G252" s="58"/>
    </row>
    <row r="253">
      <c r="D253" s="57"/>
      <c r="E253" s="58"/>
      <c r="F253" s="57"/>
      <c r="G253" s="58"/>
    </row>
    <row r="254">
      <c r="D254" s="57"/>
      <c r="E254" s="58"/>
      <c r="F254" s="57"/>
      <c r="G254" s="58"/>
    </row>
    <row r="255">
      <c r="D255" s="57"/>
      <c r="E255" s="58"/>
      <c r="F255" s="57"/>
      <c r="G255" s="58"/>
    </row>
    <row r="256">
      <c r="D256" s="57"/>
      <c r="E256" s="58"/>
      <c r="F256" s="57"/>
      <c r="G256" s="58"/>
    </row>
    <row r="257">
      <c r="D257" s="57"/>
      <c r="E257" s="58"/>
      <c r="F257" s="57"/>
      <c r="G257" s="58"/>
    </row>
    <row r="258">
      <c r="D258" s="57"/>
      <c r="E258" s="58"/>
      <c r="F258" s="57"/>
      <c r="G258" s="58"/>
    </row>
    <row r="259">
      <c r="D259" s="57"/>
      <c r="E259" s="58"/>
      <c r="F259" s="57"/>
      <c r="G259" s="58"/>
    </row>
    <row r="260">
      <c r="D260" s="57"/>
      <c r="E260" s="58"/>
      <c r="F260" s="57"/>
      <c r="G260" s="58"/>
    </row>
    <row r="261">
      <c r="D261" s="57"/>
      <c r="E261" s="58"/>
      <c r="F261" s="57"/>
      <c r="G261" s="58"/>
    </row>
    <row r="262">
      <c r="D262" s="57"/>
      <c r="E262" s="58"/>
      <c r="F262" s="57"/>
      <c r="G262" s="58"/>
    </row>
    <row r="263">
      <c r="D263" s="57"/>
      <c r="E263" s="58"/>
      <c r="F263" s="57"/>
      <c r="G263" s="58"/>
    </row>
    <row r="264">
      <c r="D264" s="57"/>
      <c r="E264" s="58"/>
      <c r="F264" s="57"/>
      <c r="G264" s="58"/>
    </row>
    <row r="265">
      <c r="D265" s="57"/>
      <c r="E265" s="58"/>
      <c r="F265" s="57"/>
      <c r="G265" s="58"/>
    </row>
    <row r="266">
      <c r="D266" s="57"/>
      <c r="E266" s="58"/>
      <c r="F266" s="57"/>
      <c r="G266" s="58"/>
    </row>
    <row r="267">
      <c r="D267" s="57"/>
      <c r="E267" s="58"/>
      <c r="F267" s="57"/>
      <c r="G267" s="58"/>
    </row>
    <row r="268">
      <c r="D268" s="57"/>
      <c r="E268" s="58"/>
      <c r="F268" s="57"/>
      <c r="G268" s="58"/>
    </row>
    <row r="269">
      <c r="D269" s="57"/>
      <c r="E269" s="58"/>
      <c r="F269" s="57"/>
      <c r="G269" s="58"/>
    </row>
    <row r="270">
      <c r="D270" s="57"/>
      <c r="E270" s="58"/>
      <c r="F270" s="57"/>
      <c r="G270" s="58"/>
    </row>
    <row r="271">
      <c r="D271" s="57"/>
      <c r="E271" s="58"/>
      <c r="F271" s="57"/>
      <c r="G271" s="58"/>
    </row>
    <row r="272">
      <c r="D272" s="57"/>
      <c r="E272" s="58"/>
      <c r="F272" s="57"/>
      <c r="G272" s="58"/>
    </row>
    <row r="273">
      <c r="D273" s="57"/>
      <c r="E273" s="58"/>
      <c r="F273" s="57"/>
      <c r="G273" s="58"/>
    </row>
    <row r="274">
      <c r="D274" s="57"/>
      <c r="E274" s="58"/>
      <c r="F274" s="57"/>
      <c r="G274" s="58"/>
    </row>
    <row r="275">
      <c r="D275" s="57"/>
      <c r="E275" s="58"/>
      <c r="F275" s="57"/>
      <c r="G275" s="58"/>
    </row>
    <row r="276">
      <c r="D276" s="57"/>
      <c r="E276" s="58"/>
      <c r="F276" s="57"/>
      <c r="G276" s="58"/>
    </row>
    <row r="277">
      <c r="D277" s="57"/>
      <c r="E277" s="58"/>
      <c r="F277" s="57"/>
      <c r="G277" s="58"/>
    </row>
    <row r="278">
      <c r="D278" s="57"/>
      <c r="E278" s="58"/>
      <c r="F278" s="57"/>
      <c r="G278" s="58"/>
    </row>
    <row r="279">
      <c r="D279" s="57"/>
      <c r="E279" s="58"/>
      <c r="F279" s="57"/>
      <c r="G279" s="58"/>
    </row>
    <row r="280">
      <c r="D280" s="57"/>
      <c r="E280" s="58"/>
      <c r="F280" s="57"/>
      <c r="G280" s="58"/>
    </row>
    <row r="281">
      <c r="D281" s="57"/>
      <c r="E281" s="58"/>
      <c r="F281" s="57"/>
      <c r="G281" s="58"/>
    </row>
    <row r="282">
      <c r="D282" s="57"/>
      <c r="E282" s="58"/>
      <c r="F282" s="57"/>
      <c r="G282" s="58"/>
    </row>
    <row r="283">
      <c r="D283" s="57"/>
      <c r="E283" s="58"/>
      <c r="F283" s="57"/>
      <c r="G283" s="58"/>
    </row>
    <row r="284">
      <c r="D284" s="57"/>
      <c r="E284" s="58"/>
      <c r="F284" s="57"/>
      <c r="G284" s="58"/>
    </row>
    <row r="285">
      <c r="D285" s="57"/>
      <c r="E285" s="58"/>
      <c r="F285" s="57"/>
      <c r="G285" s="58"/>
    </row>
    <row r="286">
      <c r="D286" s="57"/>
      <c r="E286" s="58"/>
      <c r="F286" s="57"/>
      <c r="G286" s="58"/>
    </row>
    <row r="287">
      <c r="D287" s="57"/>
      <c r="E287" s="58"/>
      <c r="F287" s="57"/>
      <c r="G287" s="58"/>
    </row>
    <row r="288">
      <c r="D288" s="57"/>
      <c r="E288" s="58"/>
      <c r="F288" s="57"/>
      <c r="G288" s="58"/>
    </row>
    <row r="289">
      <c r="D289" s="57"/>
      <c r="E289" s="58"/>
      <c r="F289" s="57"/>
      <c r="G289" s="58"/>
    </row>
    <row r="290">
      <c r="D290" s="57"/>
      <c r="E290" s="58"/>
      <c r="F290" s="57"/>
      <c r="G290" s="58"/>
    </row>
    <row r="291">
      <c r="D291" s="57"/>
      <c r="E291" s="58"/>
      <c r="F291" s="57"/>
      <c r="G291" s="58"/>
    </row>
    <row r="292">
      <c r="D292" s="57"/>
      <c r="E292" s="58"/>
      <c r="F292" s="57"/>
      <c r="G292" s="58"/>
    </row>
    <row r="293">
      <c r="D293" s="57"/>
      <c r="E293" s="58"/>
      <c r="F293" s="57"/>
      <c r="G293" s="58"/>
    </row>
    <row r="294">
      <c r="D294" s="57"/>
      <c r="E294" s="58"/>
      <c r="F294" s="57"/>
      <c r="G294" s="58"/>
    </row>
    <row r="295">
      <c r="D295" s="57"/>
      <c r="E295" s="58"/>
      <c r="F295" s="57"/>
      <c r="G295" s="58"/>
    </row>
    <row r="296">
      <c r="D296" s="57"/>
      <c r="E296" s="58"/>
      <c r="F296" s="57"/>
      <c r="G296" s="58"/>
    </row>
    <row r="297">
      <c r="D297" s="57"/>
      <c r="E297" s="58"/>
      <c r="F297" s="57"/>
      <c r="G297" s="58"/>
    </row>
    <row r="298">
      <c r="D298" s="57"/>
      <c r="E298" s="58"/>
      <c r="F298" s="57"/>
      <c r="G298" s="58"/>
    </row>
    <row r="299">
      <c r="D299" s="57"/>
      <c r="E299" s="58"/>
      <c r="F299" s="57"/>
      <c r="G299" s="58"/>
    </row>
    <row r="300">
      <c r="D300" s="57"/>
      <c r="E300" s="58"/>
      <c r="F300" s="57"/>
      <c r="G300" s="58"/>
    </row>
    <row r="301">
      <c r="D301" s="57"/>
      <c r="E301" s="58"/>
      <c r="F301" s="57"/>
      <c r="G301" s="58"/>
    </row>
    <row r="302">
      <c r="D302" s="57"/>
      <c r="E302" s="58"/>
      <c r="F302" s="57"/>
      <c r="G302" s="58"/>
    </row>
    <row r="303">
      <c r="D303" s="57"/>
      <c r="E303" s="58"/>
      <c r="F303" s="57"/>
      <c r="G303" s="58"/>
    </row>
    <row r="304">
      <c r="D304" s="57"/>
      <c r="E304" s="58"/>
      <c r="F304" s="57"/>
      <c r="G304" s="58"/>
    </row>
    <row r="305">
      <c r="D305" s="57"/>
      <c r="E305" s="58"/>
      <c r="F305" s="57"/>
      <c r="G305" s="58"/>
    </row>
    <row r="306">
      <c r="D306" s="57"/>
      <c r="E306" s="58"/>
      <c r="F306" s="57"/>
      <c r="G306" s="58"/>
    </row>
    <row r="307">
      <c r="D307" s="57"/>
      <c r="E307" s="58"/>
      <c r="F307" s="57"/>
      <c r="G307" s="58"/>
    </row>
    <row r="308">
      <c r="D308" s="57"/>
      <c r="E308" s="58"/>
      <c r="F308" s="57"/>
      <c r="G308" s="58"/>
    </row>
    <row r="309">
      <c r="D309" s="57"/>
      <c r="E309" s="58"/>
      <c r="F309" s="57"/>
      <c r="G309" s="58"/>
    </row>
    <row r="310">
      <c r="D310" s="57"/>
      <c r="E310" s="58"/>
      <c r="F310" s="57"/>
      <c r="G310" s="58"/>
    </row>
    <row r="311">
      <c r="D311" s="57"/>
      <c r="E311" s="58"/>
      <c r="F311" s="57"/>
      <c r="G311" s="58"/>
    </row>
    <row r="312">
      <c r="D312" s="57"/>
      <c r="E312" s="58"/>
      <c r="F312" s="57"/>
      <c r="G312" s="58"/>
    </row>
    <row r="313">
      <c r="D313" s="57"/>
      <c r="E313" s="58"/>
      <c r="F313" s="57"/>
      <c r="G313" s="58"/>
    </row>
    <row r="314">
      <c r="D314" s="57"/>
      <c r="E314" s="58"/>
      <c r="F314" s="57"/>
      <c r="G314" s="58"/>
    </row>
    <row r="315">
      <c r="D315" s="57"/>
      <c r="E315" s="58"/>
      <c r="F315" s="57"/>
      <c r="G315" s="58"/>
    </row>
    <row r="316">
      <c r="D316" s="57"/>
      <c r="E316" s="58"/>
      <c r="F316" s="57"/>
      <c r="G316" s="58"/>
    </row>
    <row r="317">
      <c r="D317" s="57"/>
      <c r="E317" s="58"/>
      <c r="F317" s="57"/>
      <c r="G317" s="58"/>
    </row>
    <row r="318">
      <c r="D318" s="57"/>
      <c r="E318" s="58"/>
      <c r="F318" s="57"/>
      <c r="G318" s="58"/>
    </row>
    <row r="319">
      <c r="D319" s="57"/>
      <c r="E319" s="58"/>
      <c r="F319" s="57"/>
      <c r="G319" s="58"/>
    </row>
    <row r="320">
      <c r="D320" s="57"/>
      <c r="E320" s="58"/>
      <c r="F320" s="57"/>
      <c r="G320" s="58"/>
    </row>
    <row r="321">
      <c r="D321" s="57"/>
      <c r="E321" s="58"/>
      <c r="F321" s="57"/>
      <c r="G321" s="58"/>
    </row>
    <row r="322">
      <c r="D322" s="57"/>
      <c r="E322" s="58"/>
      <c r="F322" s="57"/>
      <c r="G322" s="58"/>
    </row>
    <row r="323">
      <c r="D323" s="57"/>
      <c r="E323" s="58"/>
      <c r="F323" s="57"/>
      <c r="G323" s="58"/>
    </row>
    <row r="324">
      <c r="D324" s="57"/>
      <c r="E324" s="58"/>
      <c r="F324" s="57"/>
      <c r="G324" s="58"/>
    </row>
    <row r="325">
      <c r="D325" s="57"/>
      <c r="E325" s="58"/>
      <c r="F325" s="57"/>
      <c r="G325" s="58"/>
    </row>
    <row r="326">
      <c r="D326" s="57"/>
      <c r="E326" s="58"/>
      <c r="F326" s="57"/>
      <c r="G326" s="58"/>
    </row>
    <row r="327">
      <c r="D327" s="57"/>
      <c r="E327" s="58"/>
      <c r="F327" s="57"/>
      <c r="G327" s="58"/>
    </row>
    <row r="328">
      <c r="D328" s="57"/>
      <c r="E328" s="58"/>
      <c r="F328" s="57"/>
      <c r="G328" s="58"/>
    </row>
    <row r="329">
      <c r="D329" s="57"/>
      <c r="E329" s="58"/>
      <c r="F329" s="57"/>
      <c r="G329" s="58"/>
    </row>
    <row r="330">
      <c r="D330" s="57"/>
      <c r="E330" s="58"/>
      <c r="F330" s="57"/>
      <c r="G330" s="58"/>
    </row>
    <row r="331">
      <c r="D331" s="57"/>
      <c r="E331" s="58"/>
      <c r="F331" s="57"/>
      <c r="G331" s="58"/>
    </row>
    <row r="332">
      <c r="D332" s="57"/>
      <c r="E332" s="58"/>
      <c r="F332" s="57"/>
      <c r="G332" s="58"/>
    </row>
    <row r="333">
      <c r="D333" s="57"/>
      <c r="E333" s="58"/>
      <c r="F333" s="57"/>
      <c r="G333" s="58"/>
    </row>
    <row r="334">
      <c r="D334" s="57"/>
      <c r="E334" s="58"/>
      <c r="F334" s="57"/>
      <c r="G334" s="58"/>
    </row>
    <row r="335">
      <c r="D335" s="57"/>
      <c r="E335" s="58"/>
      <c r="F335" s="57"/>
      <c r="G335" s="58"/>
    </row>
    <row r="336">
      <c r="D336" s="57"/>
      <c r="E336" s="58"/>
      <c r="F336" s="57"/>
      <c r="G336" s="58"/>
    </row>
    <row r="337">
      <c r="D337" s="57"/>
      <c r="E337" s="58"/>
      <c r="F337" s="57"/>
      <c r="G337" s="58"/>
    </row>
    <row r="338">
      <c r="D338" s="57"/>
      <c r="E338" s="58"/>
      <c r="F338" s="57"/>
      <c r="G338" s="58"/>
    </row>
    <row r="339">
      <c r="D339" s="57"/>
      <c r="E339" s="58"/>
      <c r="F339" s="57"/>
      <c r="G339" s="58"/>
    </row>
    <row r="340">
      <c r="D340" s="57"/>
      <c r="E340" s="58"/>
      <c r="F340" s="57"/>
      <c r="G340" s="58"/>
    </row>
    <row r="341">
      <c r="D341" s="57"/>
      <c r="E341" s="58"/>
      <c r="F341" s="57"/>
      <c r="G341" s="58"/>
    </row>
    <row r="342">
      <c r="D342" s="57"/>
      <c r="E342" s="58"/>
      <c r="F342" s="57"/>
      <c r="G342" s="58"/>
    </row>
    <row r="343">
      <c r="D343" s="57"/>
      <c r="E343" s="58"/>
      <c r="F343" s="57"/>
      <c r="G343" s="58"/>
    </row>
    <row r="344">
      <c r="D344" s="57"/>
      <c r="E344" s="58"/>
      <c r="F344" s="57"/>
      <c r="G344" s="58"/>
    </row>
    <row r="345">
      <c r="D345" s="57"/>
      <c r="E345" s="58"/>
      <c r="F345" s="57"/>
      <c r="G345" s="58"/>
    </row>
    <row r="346">
      <c r="D346" s="57"/>
      <c r="E346" s="58"/>
      <c r="F346" s="57"/>
      <c r="G346" s="58"/>
    </row>
    <row r="347">
      <c r="D347" s="57"/>
      <c r="E347" s="58"/>
      <c r="F347" s="57"/>
      <c r="G347" s="58"/>
    </row>
    <row r="348">
      <c r="D348" s="57"/>
      <c r="E348" s="58"/>
      <c r="F348" s="57"/>
      <c r="G348" s="58"/>
    </row>
    <row r="349">
      <c r="D349" s="57"/>
      <c r="E349" s="58"/>
      <c r="F349" s="57"/>
      <c r="G349" s="58"/>
    </row>
    <row r="350">
      <c r="D350" s="57"/>
      <c r="E350" s="58"/>
      <c r="F350" s="57"/>
      <c r="G350" s="58"/>
    </row>
    <row r="351">
      <c r="D351" s="57"/>
      <c r="E351" s="58"/>
      <c r="F351" s="57"/>
      <c r="G351" s="58"/>
    </row>
    <row r="352">
      <c r="D352" s="57"/>
      <c r="E352" s="58"/>
      <c r="F352" s="57"/>
      <c r="G352" s="58"/>
    </row>
    <row r="353">
      <c r="D353" s="57"/>
      <c r="E353" s="58"/>
      <c r="F353" s="57"/>
      <c r="G353" s="58"/>
    </row>
    <row r="354">
      <c r="D354" s="57"/>
      <c r="E354" s="58"/>
      <c r="F354" s="57"/>
      <c r="G354" s="58"/>
    </row>
    <row r="355">
      <c r="D355" s="57"/>
      <c r="E355" s="58"/>
      <c r="F355" s="57"/>
      <c r="G355" s="58"/>
    </row>
    <row r="356">
      <c r="D356" s="57"/>
      <c r="E356" s="58"/>
      <c r="F356" s="57"/>
      <c r="G356" s="58"/>
    </row>
    <row r="357">
      <c r="D357" s="57"/>
      <c r="E357" s="58"/>
      <c r="F357" s="57"/>
      <c r="G357" s="58"/>
    </row>
    <row r="358">
      <c r="D358" s="57"/>
      <c r="E358" s="58"/>
      <c r="F358" s="57"/>
      <c r="G358" s="58"/>
    </row>
    <row r="359">
      <c r="D359" s="57"/>
      <c r="E359" s="58"/>
      <c r="F359" s="57"/>
      <c r="G359" s="58"/>
    </row>
    <row r="360">
      <c r="D360" s="57"/>
      <c r="E360" s="58"/>
      <c r="F360" s="57"/>
      <c r="G360" s="58"/>
    </row>
    <row r="361">
      <c r="D361" s="57"/>
      <c r="E361" s="58"/>
      <c r="F361" s="57"/>
      <c r="G361" s="58"/>
    </row>
    <row r="362">
      <c r="D362" s="57"/>
      <c r="E362" s="58"/>
      <c r="F362" s="57"/>
      <c r="G362" s="58"/>
    </row>
    <row r="363">
      <c r="D363" s="57"/>
      <c r="E363" s="58"/>
      <c r="F363" s="57"/>
      <c r="G363" s="58"/>
    </row>
    <row r="364">
      <c r="D364" s="57"/>
      <c r="E364" s="58"/>
      <c r="F364" s="57"/>
      <c r="G364" s="58"/>
    </row>
    <row r="365">
      <c r="D365" s="57"/>
      <c r="E365" s="58"/>
      <c r="F365" s="57"/>
      <c r="G365" s="58"/>
    </row>
    <row r="366">
      <c r="D366" s="57"/>
      <c r="E366" s="58"/>
      <c r="F366" s="57"/>
      <c r="G366" s="58"/>
    </row>
    <row r="367">
      <c r="D367" s="57"/>
      <c r="E367" s="58"/>
      <c r="F367" s="57"/>
      <c r="G367" s="58"/>
    </row>
    <row r="368">
      <c r="D368" s="57"/>
      <c r="E368" s="58"/>
      <c r="F368" s="57"/>
      <c r="G368" s="58"/>
    </row>
    <row r="369">
      <c r="D369" s="57"/>
      <c r="E369" s="58"/>
      <c r="F369" s="57"/>
      <c r="G369" s="58"/>
    </row>
    <row r="370">
      <c r="D370" s="57"/>
      <c r="E370" s="58"/>
      <c r="F370" s="57"/>
      <c r="G370" s="58"/>
    </row>
    <row r="371">
      <c r="D371" s="57"/>
      <c r="E371" s="58"/>
      <c r="F371" s="57"/>
      <c r="G371" s="58"/>
    </row>
    <row r="372">
      <c r="D372" s="57"/>
      <c r="E372" s="58"/>
      <c r="F372" s="57"/>
      <c r="G372" s="58"/>
    </row>
    <row r="373">
      <c r="D373" s="57"/>
      <c r="E373" s="58"/>
      <c r="F373" s="57"/>
      <c r="G373" s="58"/>
    </row>
    <row r="374">
      <c r="D374" s="57"/>
      <c r="E374" s="58"/>
      <c r="F374" s="57"/>
      <c r="G374" s="58"/>
    </row>
    <row r="375">
      <c r="D375" s="57"/>
      <c r="E375" s="58"/>
      <c r="F375" s="57"/>
      <c r="G375" s="58"/>
    </row>
    <row r="376">
      <c r="D376" s="57"/>
      <c r="E376" s="58"/>
      <c r="F376" s="57"/>
      <c r="G376" s="58"/>
    </row>
    <row r="377">
      <c r="D377" s="57"/>
      <c r="E377" s="58"/>
      <c r="F377" s="57"/>
      <c r="G377" s="58"/>
    </row>
    <row r="378">
      <c r="D378" s="57"/>
      <c r="E378" s="58"/>
      <c r="F378" s="57"/>
      <c r="G378" s="58"/>
    </row>
    <row r="379">
      <c r="D379" s="57"/>
      <c r="E379" s="58"/>
      <c r="F379" s="57"/>
      <c r="G379" s="58"/>
    </row>
    <row r="380">
      <c r="D380" s="57"/>
      <c r="E380" s="58"/>
      <c r="F380" s="57"/>
      <c r="G380" s="58"/>
    </row>
    <row r="381">
      <c r="D381" s="57"/>
      <c r="E381" s="58"/>
      <c r="F381" s="57"/>
      <c r="G381" s="58"/>
    </row>
    <row r="382">
      <c r="D382" s="57"/>
      <c r="E382" s="58"/>
      <c r="F382" s="57"/>
      <c r="G382" s="58"/>
    </row>
    <row r="383">
      <c r="D383" s="57"/>
      <c r="E383" s="58"/>
      <c r="F383" s="57"/>
      <c r="G383" s="58"/>
    </row>
    <row r="384">
      <c r="D384" s="57"/>
      <c r="E384" s="58"/>
      <c r="F384" s="57"/>
      <c r="G384" s="58"/>
    </row>
    <row r="385">
      <c r="D385" s="57"/>
      <c r="E385" s="58"/>
      <c r="F385" s="57"/>
      <c r="G385" s="58"/>
    </row>
    <row r="386">
      <c r="D386" s="57"/>
      <c r="E386" s="58"/>
      <c r="F386" s="57"/>
      <c r="G386" s="58"/>
    </row>
    <row r="387">
      <c r="D387" s="57"/>
      <c r="E387" s="58"/>
      <c r="F387" s="57"/>
      <c r="G387" s="58"/>
    </row>
    <row r="388">
      <c r="D388" s="57"/>
      <c r="E388" s="58"/>
      <c r="F388" s="57"/>
      <c r="G388" s="58"/>
    </row>
    <row r="389">
      <c r="D389" s="57"/>
      <c r="E389" s="58"/>
      <c r="F389" s="57"/>
      <c r="G389" s="58"/>
    </row>
    <row r="390">
      <c r="D390" s="57"/>
      <c r="E390" s="58"/>
      <c r="F390" s="57"/>
      <c r="G390" s="58"/>
    </row>
    <row r="391">
      <c r="D391" s="57"/>
      <c r="E391" s="58"/>
      <c r="F391" s="57"/>
      <c r="G391" s="58"/>
    </row>
    <row r="392">
      <c r="D392" s="57"/>
      <c r="E392" s="58"/>
      <c r="F392" s="57"/>
      <c r="G392" s="58"/>
    </row>
    <row r="393">
      <c r="D393" s="57"/>
      <c r="E393" s="58"/>
      <c r="F393" s="57"/>
      <c r="G393" s="58"/>
    </row>
    <row r="394">
      <c r="D394" s="57"/>
      <c r="E394" s="58"/>
      <c r="F394" s="57"/>
      <c r="G394" s="58"/>
    </row>
    <row r="395">
      <c r="D395" s="57"/>
      <c r="E395" s="58"/>
      <c r="F395" s="57"/>
      <c r="G395" s="58"/>
    </row>
    <row r="396">
      <c r="D396" s="57"/>
      <c r="E396" s="58"/>
      <c r="F396" s="57"/>
      <c r="G396" s="58"/>
    </row>
    <row r="397">
      <c r="D397" s="57"/>
      <c r="E397" s="58"/>
      <c r="F397" s="57"/>
      <c r="G397" s="58"/>
    </row>
    <row r="398">
      <c r="D398" s="57"/>
      <c r="E398" s="58"/>
      <c r="F398" s="57"/>
      <c r="G398" s="58"/>
    </row>
    <row r="399">
      <c r="D399" s="57"/>
      <c r="E399" s="58"/>
      <c r="F399" s="57"/>
      <c r="G399" s="58"/>
    </row>
    <row r="400">
      <c r="D400" s="57"/>
      <c r="E400" s="58"/>
      <c r="F400" s="57"/>
      <c r="G400" s="58"/>
    </row>
    <row r="401">
      <c r="D401" s="57"/>
      <c r="E401" s="58"/>
      <c r="F401" s="57"/>
      <c r="G401" s="58"/>
    </row>
    <row r="402">
      <c r="D402" s="57"/>
      <c r="E402" s="58"/>
      <c r="F402" s="57"/>
      <c r="G402" s="58"/>
    </row>
    <row r="403">
      <c r="D403" s="57"/>
      <c r="E403" s="58"/>
      <c r="F403" s="57"/>
      <c r="G403" s="58"/>
    </row>
    <row r="404">
      <c r="D404" s="57"/>
      <c r="E404" s="58"/>
      <c r="F404" s="57"/>
      <c r="G404" s="58"/>
    </row>
    <row r="405">
      <c r="D405" s="57"/>
      <c r="E405" s="58"/>
      <c r="F405" s="57"/>
      <c r="G405" s="58"/>
    </row>
    <row r="406">
      <c r="D406" s="57"/>
      <c r="E406" s="58"/>
      <c r="F406" s="57"/>
      <c r="G406" s="58"/>
    </row>
    <row r="407">
      <c r="D407" s="57"/>
      <c r="E407" s="58"/>
      <c r="F407" s="57"/>
      <c r="G407" s="58"/>
    </row>
    <row r="408">
      <c r="D408" s="57"/>
      <c r="E408" s="58"/>
      <c r="F408" s="57"/>
      <c r="G408" s="58"/>
    </row>
    <row r="409">
      <c r="D409" s="57"/>
      <c r="E409" s="58"/>
      <c r="F409" s="57"/>
      <c r="G409" s="58"/>
    </row>
    <row r="410">
      <c r="D410" s="57"/>
      <c r="E410" s="58"/>
      <c r="F410" s="57"/>
      <c r="G410" s="58"/>
    </row>
    <row r="411">
      <c r="D411" s="57"/>
      <c r="E411" s="58"/>
      <c r="F411" s="57"/>
      <c r="G411" s="58"/>
    </row>
    <row r="412">
      <c r="D412" s="57"/>
      <c r="E412" s="58"/>
      <c r="F412" s="57"/>
      <c r="G412" s="58"/>
    </row>
    <row r="413">
      <c r="D413" s="57"/>
      <c r="E413" s="58"/>
      <c r="F413" s="57"/>
      <c r="G413" s="58"/>
    </row>
    <row r="414">
      <c r="D414" s="57"/>
      <c r="E414" s="58"/>
      <c r="F414" s="57"/>
      <c r="G414" s="58"/>
    </row>
    <row r="415">
      <c r="D415" s="57"/>
      <c r="E415" s="58"/>
      <c r="F415" s="57"/>
      <c r="G415" s="58"/>
    </row>
    <row r="416">
      <c r="D416" s="57"/>
      <c r="E416" s="58"/>
      <c r="F416" s="57"/>
      <c r="G416" s="58"/>
    </row>
    <row r="417">
      <c r="D417" s="57"/>
      <c r="E417" s="58"/>
      <c r="F417" s="57"/>
      <c r="G417" s="58"/>
    </row>
    <row r="418">
      <c r="D418" s="57"/>
      <c r="E418" s="58"/>
      <c r="F418" s="57"/>
      <c r="G418" s="58"/>
    </row>
    <row r="419">
      <c r="D419" s="57"/>
      <c r="E419" s="58"/>
      <c r="F419" s="57"/>
      <c r="G419" s="58"/>
    </row>
    <row r="420">
      <c r="D420" s="57"/>
      <c r="E420" s="58"/>
      <c r="F420" s="57"/>
      <c r="G420" s="58"/>
    </row>
    <row r="421">
      <c r="D421" s="57"/>
      <c r="E421" s="58"/>
      <c r="F421" s="57"/>
      <c r="G421" s="58"/>
    </row>
    <row r="422">
      <c r="D422" s="57"/>
      <c r="E422" s="58"/>
      <c r="F422" s="57"/>
      <c r="G422" s="58"/>
    </row>
    <row r="423">
      <c r="D423" s="57"/>
      <c r="E423" s="58"/>
      <c r="F423" s="57"/>
      <c r="G423" s="58"/>
    </row>
    <row r="424">
      <c r="D424" s="57"/>
      <c r="E424" s="58"/>
      <c r="F424" s="57"/>
      <c r="G424" s="58"/>
    </row>
    <row r="425">
      <c r="D425" s="57"/>
      <c r="E425" s="58"/>
      <c r="F425" s="57"/>
      <c r="G425" s="58"/>
    </row>
    <row r="426">
      <c r="D426" s="57"/>
      <c r="E426" s="58"/>
      <c r="F426" s="57"/>
      <c r="G426" s="58"/>
    </row>
    <row r="427">
      <c r="D427" s="57"/>
      <c r="E427" s="58"/>
      <c r="F427" s="57"/>
      <c r="G427" s="58"/>
    </row>
    <row r="428">
      <c r="D428" s="57"/>
      <c r="E428" s="58"/>
      <c r="F428" s="57"/>
      <c r="G428" s="58"/>
    </row>
    <row r="429">
      <c r="D429" s="57"/>
      <c r="E429" s="58"/>
      <c r="F429" s="57"/>
      <c r="G429" s="58"/>
    </row>
    <row r="430">
      <c r="D430" s="57"/>
      <c r="E430" s="58"/>
      <c r="F430" s="57"/>
      <c r="G430" s="58"/>
    </row>
    <row r="431">
      <c r="D431" s="57"/>
      <c r="E431" s="58"/>
      <c r="F431" s="57"/>
      <c r="G431" s="58"/>
    </row>
    <row r="432">
      <c r="D432" s="57"/>
      <c r="E432" s="58"/>
      <c r="F432" s="57"/>
      <c r="G432" s="58"/>
    </row>
    <row r="433">
      <c r="D433" s="57"/>
      <c r="E433" s="58"/>
      <c r="F433" s="57"/>
      <c r="G433" s="58"/>
    </row>
    <row r="434">
      <c r="D434" s="57"/>
      <c r="E434" s="58"/>
      <c r="F434" s="57"/>
      <c r="G434" s="58"/>
    </row>
    <row r="435">
      <c r="D435" s="57"/>
      <c r="E435" s="58"/>
      <c r="F435" s="57"/>
      <c r="G435" s="58"/>
    </row>
    <row r="436">
      <c r="D436" s="57"/>
      <c r="E436" s="58"/>
      <c r="F436" s="57"/>
      <c r="G436" s="58"/>
    </row>
    <row r="437">
      <c r="D437" s="57"/>
      <c r="E437" s="58"/>
      <c r="F437" s="57"/>
      <c r="G437" s="58"/>
    </row>
    <row r="438">
      <c r="D438" s="57"/>
      <c r="E438" s="58"/>
      <c r="F438" s="57"/>
      <c r="G438" s="58"/>
    </row>
    <row r="439">
      <c r="D439" s="57"/>
      <c r="E439" s="58"/>
      <c r="F439" s="57"/>
      <c r="G439" s="58"/>
    </row>
    <row r="440">
      <c r="D440" s="57"/>
      <c r="E440" s="58"/>
      <c r="F440" s="57"/>
      <c r="G440" s="58"/>
    </row>
    <row r="441">
      <c r="D441" s="57"/>
      <c r="E441" s="58"/>
      <c r="F441" s="57"/>
      <c r="G441" s="58"/>
    </row>
    <row r="442">
      <c r="D442" s="57"/>
      <c r="E442" s="58"/>
      <c r="F442" s="57"/>
      <c r="G442" s="58"/>
    </row>
    <row r="443">
      <c r="D443" s="57"/>
      <c r="E443" s="58"/>
      <c r="F443" s="57"/>
      <c r="G443" s="58"/>
    </row>
    <row r="444">
      <c r="D444" s="57"/>
      <c r="E444" s="58"/>
      <c r="F444" s="57"/>
      <c r="G444" s="58"/>
    </row>
    <row r="445">
      <c r="D445" s="57"/>
      <c r="E445" s="58"/>
      <c r="F445" s="57"/>
      <c r="G445" s="58"/>
    </row>
    <row r="446">
      <c r="D446" s="57"/>
      <c r="E446" s="58"/>
      <c r="F446" s="57"/>
      <c r="G446" s="58"/>
    </row>
    <row r="447">
      <c r="D447" s="57"/>
      <c r="E447" s="58"/>
      <c r="F447" s="57"/>
      <c r="G447" s="58"/>
    </row>
    <row r="448">
      <c r="D448" s="57"/>
      <c r="E448" s="58"/>
      <c r="F448" s="57"/>
      <c r="G448" s="58"/>
    </row>
    <row r="449">
      <c r="D449" s="57"/>
      <c r="E449" s="58"/>
      <c r="F449" s="57"/>
      <c r="G449" s="58"/>
    </row>
    <row r="450">
      <c r="D450" s="57"/>
      <c r="E450" s="58"/>
      <c r="F450" s="57"/>
      <c r="G450" s="58"/>
    </row>
    <row r="451">
      <c r="D451" s="57"/>
      <c r="E451" s="58"/>
      <c r="F451" s="57"/>
      <c r="G451" s="58"/>
    </row>
    <row r="452">
      <c r="D452" s="57"/>
      <c r="E452" s="58"/>
      <c r="F452" s="57"/>
      <c r="G452" s="58"/>
    </row>
    <row r="453">
      <c r="D453" s="57"/>
      <c r="E453" s="58"/>
      <c r="F453" s="57"/>
      <c r="G453" s="58"/>
    </row>
    <row r="454">
      <c r="D454" s="57"/>
      <c r="E454" s="58"/>
      <c r="F454" s="57"/>
      <c r="G454" s="58"/>
    </row>
    <row r="455">
      <c r="D455" s="57"/>
      <c r="E455" s="58"/>
      <c r="F455" s="57"/>
      <c r="G455" s="58"/>
    </row>
    <row r="456">
      <c r="D456" s="57"/>
      <c r="E456" s="58"/>
      <c r="F456" s="57"/>
      <c r="G456" s="58"/>
    </row>
    <row r="457">
      <c r="D457" s="57"/>
      <c r="E457" s="58"/>
      <c r="F457" s="57"/>
      <c r="G457" s="58"/>
    </row>
    <row r="458">
      <c r="D458" s="57"/>
      <c r="E458" s="58"/>
      <c r="F458" s="57"/>
      <c r="G458" s="58"/>
    </row>
    <row r="459">
      <c r="D459" s="57"/>
      <c r="E459" s="58"/>
      <c r="F459" s="57"/>
      <c r="G459" s="58"/>
    </row>
    <row r="460">
      <c r="D460" s="57"/>
      <c r="E460" s="58"/>
      <c r="F460" s="57"/>
      <c r="G460" s="58"/>
    </row>
    <row r="461">
      <c r="D461" s="57"/>
      <c r="E461" s="58"/>
      <c r="F461" s="57"/>
      <c r="G461" s="58"/>
    </row>
    <row r="462">
      <c r="D462" s="57"/>
      <c r="E462" s="58"/>
      <c r="F462" s="57"/>
      <c r="G462" s="58"/>
    </row>
    <row r="463">
      <c r="D463" s="57"/>
      <c r="E463" s="58"/>
      <c r="F463" s="57"/>
      <c r="G463" s="58"/>
    </row>
    <row r="464">
      <c r="D464" s="57"/>
      <c r="E464" s="58"/>
      <c r="F464" s="57"/>
      <c r="G464" s="58"/>
    </row>
    <row r="465">
      <c r="D465" s="57"/>
      <c r="E465" s="58"/>
      <c r="F465" s="57"/>
      <c r="G465" s="58"/>
    </row>
    <row r="466">
      <c r="D466" s="57"/>
      <c r="E466" s="58"/>
      <c r="F466" s="57"/>
      <c r="G466" s="58"/>
    </row>
    <row r="467">
      <c r="D467" s="57"/>
      <c r="E467" s="58"/>
      <c r="F467" s="57"/>
      <c r="G467" s="58"/>
    </row>
    <row r="468">
      <c r="D468" s="57"/>
      <c r="E468" s="58"/>
      <c r="F468" s="57"/>
      <c r="G468" s="58"/>
    </row>
    <row r="469">
      <c r="D469" s="57"/>
      <c r="E469" s="58"/>
      <c r="F469" s="57"/>
      <c r="G469" s="58"/>
    </row>
    <row r="470">
      <c r="D470" s="57"/>
      <c r="E470" s="58"/>
      <c r="F470" s="57"/>
      <c r="G470" s="58"/>
    </row>
    <row r="471">
      <c r="D471" s="57"/>
      <c r="E471" s="58"/>
      <c r="F471" s="57"/>
      <c r="G471" s="58"/>
    </row>
    <row r="472">
      <c r="D472" s="57"/>
      <c r="E472" s="58"/>
      <c r="F472" s="57"/>
      <c r="G472" s="58"/>
    </row>
    <row r="473">
      <c r="D473" s="57"/>
      <c r="E473" s="58"/>
      <c r="F473" s="57"/>
      <c r="G473" s="58"/>
    </row>
    <row r="474">
      <c r="D474" s="57"/>
      <c r="E474" s="58"/>
      <c r="F474" s="57"/>
      <c r="G474" s="58"/>
    </row>
    <row r="475">
      <c r="D475" s="57"/>
      <c r="E475" s="58"/>
      <c r="F475" s="57"/>
      <c r="G475" s="58"/>
    </row>
    <row r="476">
      <c r="D476" s="57"/>
      <c r="E476" s="58"/>
      <c r="F476" s="57"/>
      <c r="G476" s="58"/>
    </row>
    <row r="477">
      <c r="D477" s="57"/>
      <c r="E477" s="58"/>
      <c r="F477" s="57"/>
      <c r="G477" s="58"/>
    </row>
    <row r="478">
      <c r="D478" s="57"/>
      <c r="E478" s="58"/>
      <c r="F478" s="57"/>
      <c r="G478" s="58"/>
    </row>
    <row r="479">
      <c r="D479" s="57"/>
      <c r="E479" s="58"/>
      <c r="F479" s="57"/>
      <c r="G479" s="58"/>
    </row>
    <row r="480">
      <c r="D480" s="57"/>
      <c r="E480" s="58"/>
      <c r="F480" s="57"/>
      <c r="G480" s="58"/>
    </row>
    <row r="481">
      <c r="D481" s="57"/>
      <c r="E481" s="58"/>
      <c r="F481" s="57"/>
      <c r="G481" s="58"/>
    </row>
    <row r="482">
      <c r="D482" s="57"/>
      <c r="E482" s="58"/>
      <c r="F482" s="57"/>
      <c r="G482" s="58"/>
    </row>
    <row r="483">
      <c r="D483" s="57"/>
      <c r="E483" s="58"/>
      <c r="F483" s="57"/>
      <c r="G483" s="58"/>
    </row>
    <row r="484">
      <c r="D484" s="57"/>
      <c r="E484" s="58"/>
      <c r="F484" s="57"/>
      <c r="G484" s="58"/>
    </row>
    <row r="485">
      <c r="D485" s="57"/>
      <c r="E485" s="58"/>
      <c r="F485" s="57"/>
      <c r="G485" s="58"/>
    </row>
    <row r="486">
      <c r="D486" s="57"/>
      <c r="E486" s="58"/>
      <c r="F486" s="57"/>
      <c r="G486" s="58"/>
    </row>
    <row r="487">
      <c r="D487" s="57"/>
      <c r="E487" s="58"/>
      <c r="F487" s="57"/>
      <c r="G487" s="58"/>
    </row>
    <row r="488">
      <c r="D488" s="57"/>
      <c r="E488" s="58"/>
      <c r="F488" s="57"/>
      <c r="G488" s="58"/>
    </row>
    <row r="489">
      <c r="D489" s="57"/>
      <c r="E489" s="58"/>
      <c r="F489" s="57"/>
      <c r="G489" s="58"/>
    </row>
    <row r="490">
      <c r="D490" s="57"/>
      <c r="E490" s="58"/>
      <c r="F490" s="57"/>
      <c r="G490" s="58"/>
    </row>
    <row r="491">
      <c r="D491" s="57"/>
      <c r="E491" s="58"/>
      <c r="F491" s="57"/>
      <c r="G491" s="58"/>
    </row>
    <row r="492">
      <c r="D492" s="57"/>
      <c r="E492" s="58"/>
      <c r="F492" s="57"/>
      <c r="G492" s="58"/>
    </row>
    <row r="493">
      <c r="D493" s="57"/>
      <c r="E493" s="58"/>
      <c r="F493" s="57"/>
      <c r="G493" s="58"/>
    </row>
    <row r="494">
      <c r="D494" s="57"/>
      <c r="E494" s="58"/>
      <c r="F494" s="57"/>
      <c r="G494" s="58"/>
    </row>
    <row r="495">
      <c r="D495" s="57"/>
      <c r="E495" s="58"/>
      <c r="F495" s="57"/>
      <c r="G495" s="58"/>
    </row>
    <row r="496">
      <c r="D496" s="57"/>
      <c r="E496" s="58"/>
      <c r="F496" s="57"/>
      <c r="G496" s="58"/>
    </row>
    <row r="497">
      <c r="D497" s="57"/>
      <c r="E497" s="58"/>
      <c r="F497" s="57"/>
      <c r="G497" s="58"/>
    </row>
    <row r="498">
      <c r="D498" s="57"/>
      <c r="E498" s="58"/>
      <c r="F498" s="57"/>
      <c r="G498" s="58"/>
    </row>
    <row r="499">
      <c r="D499" s="57"/>
      <c r="E499" s="58"/>
      <c r="F499" s="57"/>
      <c r="G499" s="58"/>
    </row>
    <row r="500">
      <c r="D500" s="57"/>
      <c r="E500" s="58"/>
      <c r="F500" s="57"/>
      <c r="G500" s="58"/>
    </row>
    <row r="501">
      <c r="D501" s="57"/>
      <c r="E501" s="58"/>
      <c r="F501" s="57"/>
      <c r="G501" s="58"/>
    </row>
    <row r="502">
      <c r="D502" s="57"/>
      <c r="E502" s="58"/>
      <c r="F502" s="57"/>
      <c r="G502" s="58"/>
    </row>
    <row r="503">
      <c r="D503" s="57"/>
      <c r="E503" s="58"/>
      <c r="F503" s="57"/>
      <c r="G503" s="58"/>
    </row>
    <row r="504">
      <c r="D504" s="57"/>
      <c r="E504" s="58"/>
      <c r="F504" s="57"/>
      <c r="G504" s="58"/>
    </row>
    <row r="505">
      <c r="D505" s="57"/>
      <c r="E505" s="58"/>
      <c r="F505" s="57"/>
      <c r="G505" s="58"/>
    </row>
    <row r="506">
      <c r="D506" s="57"/>
      <c r="E506" s="58"/>
      <c r="F506" s="57"/>
      <c r="G506" s="58"/>
    </row>
    <row r="507">
      <c r="D507" s="57"/>
      <c r="E507" s="58"/>
      <c r="F507" s="57"/>
      <c r="G507" s="58"/>
    </row>
    <row r="508">
      <c r="D508" s="57"/>
      <c r="E508" s="58"/>
      <c r="F508" s="57"/>
      <c r="G508" s="58"/>
    </row>
    <row r="509">
      <c r="D509" s="57"/>
      <c r="E509" s="58"/>
      <c r="F509" s="57"/>
      <c r="G509" s="58"/>
    </row>
    <row r="510">
      <c r="D510" s="57"/>
      <c r="E510" s="58"/>
      <c r="F510" s="57"/>
      <c r="G510" s="58"/>
    </row>
    <row r="511">
      <c r="D511" s="57"/>
      <c r="E511" s="58"/>
      <c r="F511" s="57"/>
      <c r="G511" s="58"/>
    </row>
    <row r="512">
      <c r="D512" s="57"/>
      <c r="E512" s="58"/>
      <c r="F512" s="57"/>
      <c r="G512" s="58"/>
    </row>
    <row r="513">
      <c r="D513" s="57"/>
      <c r="E513" s="58"/>
      <c r="F513" s="57"/>
      <c r="G513" s="58"/>
    </row>
    <row r="514">
      <c r="D514" s="57"/>
      <c r="E514" s="58"/>
      <c r="F514" s="57"/>
      <c r="G514" s="58"/>
    </row>
    <row r="515">
      <c r="D515" s="57"/>
      <c r="E515" s="58"/>
      <c r="F515" s="57"/>
      <c r="G515" s="58"/>
    </row>
    <row r="516">
      <c r="D516" s="57"/>
      <c r="E516" s="58"/>
      <c r="F516" s="57"/>
      <c r="G516" s="58"/>
    </row>
    <row r="517">
      <c r="D517" s="57"/>
      <c r="E517" s="58"/>
      <c r="F517" s="57"/>
      <c r="G517" s="58"/>
    </row>
    <row r="518">
      <c r="D518" s="57"/>
      <c r="E518" s="58"/>
      <c r="F518" s="57"/>
      <c r="G518" s="58"/>
    </row>
    <row r="519">
      <c r="D519" s="57"/>
      <c r="E519" s="58"/>
      <c r="F519" s="57"/>
      <c r="G519" s="58"/>
    </row>
    <row r="520">
      <c r="D520" s="57"/>
      <c r="E520" s="58"/>
      <c r="F520" s="57"/>
      <c r="G520" s="58"/>
    </row>
    <row r="521">
      <c r="D521" s="57"/>
      <c r="E521" s="58"/>
      <c r="F521" s="57"/>
      <c r="G521" s="58"/>
    </row>
    <row r="522">
      <c r="D522" s="57"/>
      <c r="E522" s="58"/>
      <c r="F522" s="57"/>
      <c r="G522" s="58"/>
    </row>
    <row r="523">
      <c r="D523" s="57"/>
      <c r="E523" s="58"/>
      <c r="F523" s="57"/>
      <c r="G523" s="58"/>
    </row>
    <row r="524">
      <c r="D524" s="57"/>
      <c r="E524" s="58"/>
      <c r="F524" s="57"/>
      <c r="G524" s="58"/>
    </row>
    <row r="525">
      <c r="D525" s="57"/>
      <c r="E525" s="58"/>
      <c r="F525" s="57"/>
      <c r="G525" s="58"/>
    </row>
    <row r="526">
      <c r="D526" s="57"/>
      <c r="E526" s="58"/>
      <c r="F526" s="57"/>
      <c r="G526" s="58"/>
    </row>
    <row r="527">
      <c r="D527" s="57"/>
      <c r="E527" s="58"/>
      <c r="F527" s="57"/>
      <c r="G527" s="58"/>
    </row>
    <row r="528">
      <c r="D528" s="57"/>
      <c r="E528" s="58"/>
      <c r="F528" s="57"/>
      <c r="G528" s="58"/>
    </row>
    <row r="529">
      <c r="D529" s="57"/>
      <c r="E529" s="58"/>
      <c r="F529" s="57"/>
      <c r="G529" s="58"/>
    </row>
    <row r="530">
      <c r="D530" s="57"/>
      <c r="E530" s="58"/>
      <c r="F530" s="57"/>
      <c r="G530" s="58"/>
    </row>
    <row r="531">
      <c r="D531" s="57"/>
      <c r="E531" s="58"/>
      <c r="F531" s="57"/>
      <c r="G531" s="58"/>
    </row>
    <row r="532">
      <c r="D532" s="57"/>
      <c r="E532" s="58"/>
      <c r="F532" s="57"/>
      <c r="G532" s="58"/>
    </row>
    <row r="533">
      <c r="D533" s="57"/>
      <c r="E533" s="58"/>
      <c r="F533" s="57"/>
      <c r="G533" s="58"/>
    </row>
    <row r="534">
      <c r="D534" s="57"/>
      <c r="E534" s="58"/>
      <c r="F534" s="57"/>
      <c r="G534" s="58"/>
    </row>
    <row r="535">
      <c r="D535" s="57"/>
      <c r="E535" s="58"/>
      <c r="F535" s="57"/>
      <c r="G535" s="58"/>
    </row>
    <row r="536">
      <c r="D536" s="57"/>
      <c r="E536" s="58"/>
      <c r="F536" s="57"/>
      <c r="G536" s="58"/>
    </row>
    <row r="537">
      <c r="D537" s="57"/>
      <c r="E537" s="58"/>
      <c r="F537" s="57"/>
      <c r="G537" s="58"/>
    </row>
    <row r="538">
      <c r="D538" s="57"/>
      <c r="E538" s="58"/>
      <c r="F538" s="57"/>
      <c r="G538" s="58"/>
    </row>
    <row r="539">
      <c r="D539" s="57"/>
      <c r="E539" s="58"/>
      <c r="F539" s="57"/>
      <c r="G539" s="58"/>
    </row>
    <row r="540">
      <c r="D540" s="57"/>
      <c r="E540" s="58"/>
      <c r="F540" s="57"/>
      <c r="G540" s="58"/>
    </row>
    <row r="541">
      <c r="D541" s="57"/>
      <c r="E541" s="58"/>
      <c r="F541" s="57"/>
      <c r="G541" s="58"/>
    </row>
    <row r="542">
      <c r="D542" s="57"/>
      <c r="E542" s="58"/>
      <c r="F542" s="57"/>
      <c r="G542" s="58"/>
    </row>
    <row r="543">
      <c r="D543" s="57"/>
      <c r="E543" s="58"/>
      <c r="F543" s="57"/>
      <c r="G543" s="58"/>
    </row>
    <row r="544">
      <c r="D544" s="57"/>
      <c r="E544" s="58"/>
      <c r="F544" s="57"/>
      <c r="G544" s="58"/>
    </row>
    <row r="545">
      <c r="D545" s="57"/>
      <c r="E545" s="58"/>
      <c r="F545" s="57"/>
      <c r="G545" s="58"/>
    </row>
    <row r="546">
      <c r="D546" s="57"/>
      <c r="E546" s="58"/>
      <c r="F546" s="57"/>
      <c r="G546" s="58"/>
    </row>
    <row r="547">
      <c r="D547" s="57"/>
      <c r="E547" s="58"/>
      <c r="F547" s="57"/>
      <c r="G547" s="58"/>
    </row>
    <row r="548">
      <c r="D548" s="57"/>
      <c r="E548" s="58"/>
      <c r="F548" s="57"/>
      <c r="G548" s="58"/>
    </row>
    <row r="549">
      <c r="D549" s="57"/>
      <c r="E549" s="58"/>
      <c r="F549" s="57"/>
      <c r="G549" s="58"/>
    </row>
    <row r="550">
      <c r="D550" s="57"/>
      <c r="E550" s="58"/>
      <c r="F550" s="57"/>
      <c r="G550" s="58"/>
    </row>
    <row r="551">
      <c r="D551" s="57"/>
      <c r="E551" s="58"/>
      <c r="F551" s="57"/>
      <c r="G551" s="58"/>
    </row>
    <row r="552">
      <c r="D552" s="57"/>
      <c r="E552" s="58"/>
      <c r="F552" s="57"/>
      <c r="G552" s="58"/>
    </row>
    <row r="553">
      <c r="D553" s="57"/>
      <c r="E553" s="58"/>
      <c r="F553" s="57"/>
      <c r="G553" s="58"/>
    </row>
    <row r="554">
      <c r="D554" s="57"/>
      <c r="E554" s="58"/>
      <c r="F554" s="57"/>
      <c r="G554" s="58"/>
    </row>
    <row r="555">
      <c r="D555" s="57"/>
      <c r="E555" s="58"/>
      <c r="F555" s="57"/>
      <c r="G555" s="58"/>
    </row>
    <row r="556">
      <c r="D556" s="57"/>
      <c r="E556" s="58"/>
      <c r="F556" s="57"/>
      <c r="G556" s="58"/>
    </row>
    <row r="557">
      <c r="D557" s="57"/>
      <c r="E557" s="58"/>
      <c r="F557" s="57"/>
      <c r="G557" s="58"/>
    </row>
    <row r="558">
      <c r="D558" s="57"/>
      <c r="E558" s="58"/>
      <c r="F558" s="57"/>
      <c r="G558" s="58"/>
    </row>
    <row r="559">
      <c r="D559" s="57"/>
      <c r="E559" s="58"/>
      <c r="F559" s="57"/>
      <c r="G559" s="58"/>
    </row>
    <row r="560">
      <c r="D560" s="57"/>
      <c r="E560" s="58"/>
      <c r="F560" s="57"/>
      <c r="G560" s="58"/>
    </row>
    <row r="561">
      <c r="D561" s="57"/>
      <c r="E561" s="58"/>
      <c r="F561" s="57"/>
      <c r="G561" s="58"/>
    </row>
    <row r="562">
      <c r="D562" s="57"/>
      <c r="E562" s="58"/>
      <c r="F562" s="57"/>
      <c r="G562" s="58"/>
    </row>
    <row r="563">
      <c r="D563" s="57"/>
      <c r="E563" s="58"/>
      <c r="F563" s="57"/>
      <c r="G563" s="58"/>
    </row>
    <row r="564">
      <c r="D564" s="57"/>
      <c r="E564" s="58"/>
      <c r="F564" s="57"/>
      <c r="G564" s="58"/>
    </row>
    <row r="565">
      <c r="D565" s="57"/>
      <c r="E565" s="58"/>
      <c r="F565" s="57"/>
      <c r="G565" s="58"/>
    </row>
    <row r="566">
      <c r="D566" s="57"/>
      <c r="E566" s="58"/>
      <c r="F566" s="57"/>
      <c r="G566" s="58"/>
    </row>
    <row r="567">
      <c r="D567" s="57"/>
      <c r="E567" s="58"/>
      <c r="F567" s="57"/>
      <c r="G567" s="58"/>
    </row>
    <row r="568">
      <c r="D568" s="57"/>
      <c r="E568" s="58"/>
      <c r="F568" s="57"/>
      <c r="G568" s="58"/>
    </row>
    <row r="569">
      <c r="D569" s="57"/>
      <c r="E569" s="58"/>
      <c r="F569" s="57"/>
      <c r="G569" s="58"/>
    </row>
    <row r="570">
      <c r="D570" s="57"/>
      <c r="E570" s="58"/>
      <c r="F570" s="57"/>
      <c r="G570" s="58"/>
    </row>
    <row r="571">
      <c r="D571" s="57"/>
      <c r="E571" s="58"/>
      <c r="F571" s="57"/>
      <c r="G571" s="58"/>
    </row>
    <row r="572">
      <c r="D572" s="57"/>
      <c r="E572" s="58"/>
      <c r="F572" s="57"/>
      <c r="G572" s="58"/>
    </row>
    <row r="573">
      <c r="D573" s="57"/>
      <c r="E573" s="58"/>
      <c r="F573" s="57"/>
      <c r="G573" s="58"/>
    </row>
    <row r="574">
      <c r="D574" s="57"/>
      <c r="E574" s="58"/>
      <c r="F574" s="57"/>
      <c r="G574" s="58"/>
    </row>
    <row r="575">
      <c r="D575" s="57"/>
      <c r="E575" s="58"/>
      <c r="F575" s="57"/>
      <c r="G575" s="58"/>
    </row>
    <row r="576">
      <c r="D576" s="57"/>
      <c r="E576" s="58"/>
      <c r="F576" s="57"/>
      <c r="G576" s="58"/>
    </row>
    <row r="577">
      <c r="D577" s="57"/>
      <c r="E577" s="58"/>
      <c r="F577" s="57"/>
      <c r="G577" s="58"/>
    </row>
    <row r="578">
      <c r="D578" s="57"/>
      <c r="E578" s="58"/>
      <c r="F578" s="57"/>
      <c r="G578" s="58"/>
    </row>
    <row r="579">
      <c r="D579" s="57"/>
      <c r="E579" s="58"/>
      <c r="F579" s="57"/>
      <c r="G579" s="58"/>
    </row>
    <row r="580">
      <c r="D580" s="57"/>
      <c r="E580" s="58"/>
      <c r="F580" s="57"/>
      <c r="G580" s="58"/>
    </row>
    <row r="581">
      <c r="D581" s="57"/>
      <c r="E581" s="58"/>
      <c r="F581" s="57"/>
      <c r="G581" s="58"/>
    </row>
    <row r="582">
      <c r="D582" s="57"/>
      <c r="E582" s="58"/>
      <c r="F582" s="57"/>
      <c r="G582" s="58"/>
    </row>
    <row r="583">
      <c r="D583" s="57"/>
      <c r="E583" s="58"/>
      <c r="F583" s="57"/>
      <c r="G583" s="58"/>
    </row>
    <row r="584">
      <c r="D584" s="57"/>
      <c r="E584" s="58"/>
      <c r="F584" s="57"/>
      <c r="G584" s="58"/>
    </row>
    <row r="585">
      <c r="D585" s="57"/>
      <c r="E585" s="58"/>
      <c r="F585" s="57"/>
      <c r="G585" s="58"/>
    </row>
    <row r="586">
      <c r="D586" s="57"/>
      <c r="E586" s="58"/>
      <c r="F586" s="57"/>
      <c r="G586" s="58"/>
    </row>
    <row r="587">
      <c r="D587" s="57"/>
      <c r="E587" s="58"/>
      <c r="F587" s="57"/>
      <c r="G587" s="58"/>
    </row>
    <row r="588">
      <c r="D588" s="57"/>
      <c r="E588" s="58"/>
      <c r="F588" s="57"/>
      <c r="G588" s="58"/>
    </row>
    <row r="589">
      <c r="D589" s="57"/>
      <c r="E589" s="58"/>
      <c r="F589" s="57"/>
      <c r="G589" s="58"/>
    </row>
    <row r="590">
      <c r="D590" s="57"/>
      <c r="E590" s="58"/>
      <c r="F590" s="57"/>
      <c r="G590" s="58"/>
    </row>
    <row r="591">
      <c r="D591" s="57"/>
      <c r="E591" s="58"/>
      <c r="F591" s="57"/>
      <c r="G591" s="58"/>
    </row>
    <row r="592">
      <c r="D592" s="57"/>
      <c r="E592" s="58"/>
      <c r="F592" s="57"/>
      <c r="G592" s="58"/>
    </row>
    <row r="593">
      <c r="D593" s="57"/>
      <c r="E593" s="58"/>
      <c r="F593" s="57"/>
      <c r="G593" s="58"/>
    </row>
    <row r="594">
      <c r="D594" s="57"/>
      <c r="E594" s="58"/>
      <c r="F594" s="57"/>
      <c r="G594" s="58"/>
    </row>
    <row r="595">
      <c r="D595" s="57"/>
      <c r="E595" s="58"/>
      <c r="F595" s="57"/>
      <c r="G595" s="58"/>
    </row>
    <row r="596">
      <c r="D596" s="57"/>
      <c r="E596" s="58"/>
      <c r="F596" s="57"/>
      <c r="G596" s="58"/>
    </row>
    <row r="597">
      <c r="D597" s="57"/>
      <c r="E597" s="58"/>
      <c r="F597" s="57"/>
      <c r="G597" s="58"/>
    </row>
    <row r="598">
      <c r="D598" s="57"/>
      <c r="E598" s="58"/>
      <c r="F598" s="57"/>
      <c r="G598" s="58"/>
    </row>
    <row r="599">
      <c r="D599" s="57"/>
      <c r="E599" s="58"/>
      <c r="F599" s="57"/>
      <c r="G599" s="58"/>
    </row>
    <row r="600">
      <c r="D600" s="57"/>
      <c r="E600" s="58"/>
      <c r="F600" s="57"/>
      <c r="G600" s="58"/>
    </row>
    <row r="601">
      <c r="D601" s="57"/>
      <c r="E601" s="58"/>
      <c r="F601" s="57"/>
      <c r="G601" s="58"/>
    </row>
    <row r="602">
      <c r="D602" s="57"/>
      <c r="E602" s="58"/>
      <c r="F602" s="57"/>
      <c r="G602" s="58"/>
    </row>
    <row r="603">
      <c r="D603" s="57"/>
      <c r="E603" s="58"/>
      <c r="F603" s="57"/>
      <c r="G603" s="58"/>
    </row>
    <row r="604">
      <c r="D604" s="57"/>
      <c r="E604" s="58"/>
      <c r="F604" s="57"/>
      <c r="G604" s="58"/>
    </row>
    <row r="605">
      <c r="D605" s="57"/>
      <c r="E605" s="58"/>
      <c r="F605" s="57"/>
      <c r="G605" s="58"/>
    </row>
    <row r="606">
      <c r="D606" s="57"/>
      <c r="E606" s="58"/>
      <c r="F606" s="57"/>
      <c r="G606" s="58"/>
    </row>
    <row r="607">
      <c r="D607" s="57"/>
      <c r="E607" s="58"/>
      <c r="F607" s="57"/>
      <c r="G607" s="58"/>
    </row>
    <row r="608">
      <c r="D608" s="57"/>
      <c r="E608" s="58"/>
      <c r="F608" s="57"/>
      <c r="G608" s="58"/>
    </row>
    <row r="609">
      <c r="D609" s="57"/>
      <c r="E609" s="58"/>
      <c r="F609" s="57"/>
      <c r="G609" s="58"/>
    </row>
    <row r="610">
      <c r="D610" s="57"/>
      <c r="E610" s="58"/>
      <c r="F610" s="57"/>
      <c r="G610" s="58"/>
    </row>
    <row r="611">
      <c r="D611" s="57"/>
      <c r="E611" s="58"/>
      <c r="F611" s="57"/>
      <c r="G611" s="58"/>
    </row>
    <row r="612">
      <c r="D612" s="57"/>
      <c r="E612" s="58"/>
      <c r="F612" s="57"/>
      <c r="G612" s="58"/>
    </row>
    <row r="613">
      <c r="D613" s="57"/>
      <c r="E613" s="58"/>
      <c r="F613" s="57"/>
      <c r="G613" s="58"/>
    </row>
    <row r="614">
      <c r="D614" s="57"/>
      <c r="E614" s="58"/>
      <c r="F614" s="57"/>
      <c r="G614" s="58"/>
    </row>
    <row r="615">
      <c r="D615" s="57"/>
      <c r="E615" s="58"/>
      <c r="F615" s="57"/>
      <c r="G615" s="58"/>
    </row>
    <row r="616">
      <c r="D616" s="57"/>
      <c r="E616" s="58"/>
      <c r="F616" s="57"/>
      <c r="G616" s="58"/>
    </row>
    <row r="617">
      <c r="D617" s="57"/>
      <c r="E617" s="58"/>
      <c r="F617" s="57"/>
      <c r="G617" s="58"/>
    </row>
    <row r="618">
      <c r="D618" s="57"/>
      <c r="E618" s="58"/>
      <c r="F618" s="57"/>
      <c r="G618" s="58"/>
    </row>
    <row r="619">
      <c r="D619" s="57"/>
      <c r="E619" s="58"/>
      <c r="F619" s="57"/>
      <c r="G619" s="58"/>
    </row>
    <row r="620">
      <c r="D620" s="57"/>
      <c r="E620" s="58"/>
      <c r="F620" s="57"/>
      <c r="G620" s="58"/>
    </row>
    <row r="621">
      <c r="D621" s="57"/>
      <c r="E621" s="58"/>
      <c r="F621" s="57"/>
      <c r="G621" s="58"/>
    </row>
    <row r="622">
      <c r="D622" s="57"/>
      <c r="E622" s="58"/>
      <c r="F622" s="57"/>
      <c r="G622" s="58"/>
    </row>
    <row r="623">
      <c r="D623" s="57"/>
      <c r="E623" s="58"/>
      <c r="F623" s="57"/>
      <c r="G623" s="58"/>
    </row>
    <row r="624">
      <c r="D624" s="57"/>
      <c r="E624" s="58"/>
      <c r="F624" s="57"/>
      <c r="G624" s="58"/>
    </row>
    <row r="625">
      <c r="D625" s="57"/>
      <c r="E625" s="58"/>
      <c r="F625" s="57"/>
      <c r="G625" s="58"/>
    </row>
    <row r="626">
      <c r="D626" s="57"/>
      <c r="E626" s="58"/>
      <c r="F626" s="57"/>
      <c r="G626" s="58"/>
    </row>
    <row r="627">
      <c r="D627" s="57"/>
      <c r="E627" s="58"/>
      <c r="F627" s="57"/>
      <c r="G627" s="58"/>
    </row>
    <row r="628">
      <c r="D628" s="57"/>
      <c r="E628" s="58"/>
      <c r="F628" s="57"/>
      <c r="G628" s="58"/>
    </row>
    <row r="629">
      <c r="D629" s="57"/>
      <c r="E629" s="58"/>
      <c r="F629" s="57"/>
      <c r="G629" s="58"/>
    </row>
    <row r="630">
      <c r="D630" s="57"/>
      <c r="E630" s="58"/>
      <c r="F630" s="57"/>
      <c r="G630" s="58"/>
    </row>
    <row r="631">
      <c r="D631" s="57"/>
      <c r="E631" s="58"/>
      <c r="F631" s="57"/>
      <c r="G631" s="58"/>
    </row>
    <row r="632">
      <c r="D632" s="57"/>
      <c r="E632" s="58"/>
      <c r="F632" s="57"/>
      <c r="G632" s="58"/>
    </row>
    <row r="633">
      <c r="D633" s="57"/>
      <c r="E633" s="58"/>
      <c r="F633" s="57"/>
      <c r="G633" s="58"/>
    </row>
    <row r="634">
      <c r="D634" s="57"/>
      <c r="E634" s="58"/>
      <c r="F634" s="57"/>
      <c r="G634" s="58"/>
    </row>
    <row r="635">
      <c r="D635" s="57"/>
      <c r="E635" s="58"/>
      <c r="F635" s="57"/>
      <c r="G635" s="58"/>
    </row>
    <row r="636">
      <c r="D636" s="57"/>
      <c r="E636" s="58"/>
      <c r="F636" s="57"/>
      <c r="G636" s="58"/>
    </row>
    <row r="637">
      <c r="D637" s="57"/>
      <c r="E637" s="58"/>
      <c r="F637" s="57"/>
      <c r="G637" s="58"/>
    </row>
    <row r="638">
      <c r="D638" s="57"/>
      <c r="E638" s="58"/>
      <c r="F638" s="57"/>
      <c r="G638" s="58"/>
    </row>
    <row r="639">
      <c r="D639" s="57"/>
      <c r="E639" s="58"/>
      <c r="F639" s="57"/>
      <c r="G639" s="58"/>
    </row>
    <row r="640">
      <c r="D640" s="57"/>
      <c r="E640" s="58"/>
      <c r="F640" s="57"/>
      <c r="G640" s="58"/>
    </row>
    <row r="641">
      <c r="D641" s="57"/>
      <c r="E641" s="58"/>
      <c r="F641" s="57"/>
      <c r="G641" s="58"/>
    </row>
    <row r="642">
      <c r="D642" s="57"/>
      <c r="E642" s="58"/>
      <c r="F642" s="57"/>
      <c r="G642" s="58"/>
    </row>
    <row r="643">
      <c r="D643" s="57"/>
      <c r="E643" s="58"/>
      <c r="F643" s="57"/>
      <c r="G643" s="58"/>
    </row>
    <row r="644">
      <c r="D644" s="57"/>
      <c r="E644" s="58"/>
      <c r="F644" s="57"/>
      <c r="G644" s="58"/>
    </row>
    <row r="645">
      <c r="D645" s="57"/>
      <c r="E645" s="58"/>
      <c r="F645" s="57"/>
      <c r="G645" s="58"/>
    </row>
    <row r="646">
      <c r="D646" s="57"/>
      <c r="E646" s="58"/>
      <c r="F646" s="57"/>
      <c r="G646" s="58"/>
    </row>
    <row r="647">
      <c r="D647" s="57"/>
      <c r="E647" s="58"/>
      <c r="F647" s="57"/>
      <c r="G647" s="58"/>
    </row>
    <row r="648">
      <c r="D648" s="57"/>
      <c r="E648" s="58"/>
      <c r="F648" s="57"/>
      <c r="G648" s="58"/>
    </row>
    <row r="649">
      <c r="D649" s="57"/>
      <c r="E649" s="58"/>
      <c r="F649" s="57"/>
      <c r="G649" s="58"/>
    </row>
    <row r="650">
      <c r="D650" s="57"/>
      <c r="E650" s="58"/>
      <c r="F650" s="57"/>
      <c r="G650" s="58"/>
    </row>
    <row r="651">
      <c r="D651" s="57"/>
      <c r="E651" s="58"/>
      <c r="F651" s="57"/>
      <c r="G651" s="58"/>
    </row>
    <row r="652">
      <c r="D652" s="57"/>
      <c r="E652" s="58"/>
      <c r="F652" s="57"/>
      <c r="G652" s="58"/>
    </row>
    <row r="653">
      <c r="D653" s="57"/>
      <c r="E653" s="58"/>
      <c r="F653" s="57"/>
      <c r="G653" s="58"/>
    </row>
    <row r="654">
      <c r="D654" s="57"/>
      <c r="E654" s="58"/>
      <c r="F654" s="57"/>
      <c r="G654" s="58"/>
    </row>
    <row r="655">
      <c r="D655" s="57"/>
      <c r="E655" s="58"/>
      <c r="F655" s="57"/>
      <c r="G655" s="58"/>
    </row>
    <row r="656">
      <c r="D656" s="57"/>
      <c r="E656" s="58"/>
      <c r="F656" s="57"/>
      <c r="G656" s="58"/>
    </row>
    <row r="657">
      <c r="D657" s="57"/>
      <c r="E657" s="58"/>
      <c r="F657" s="57"/>
      <c r="G657" s="58"/>
    </row>
    <row r="658">
      <c r="D658" s="57"/>
      <c r="E658" s="58"/>
      <c r="F658" s="57"/>
      <c r="G658" s="58"/>
    </row>
    <row r="659">
      <c r="D659" s="57"/>
      <c r="E659" s="58"/>
      <c r="F659" s="57"/>
      <c r="G659" s="58"/>
    </row>
    <row r="660">
      <c r="D660" s="57"/>
      <c r="E660" s="58"/>
      <c r="F660" s="57"/>
      <c r="G660" s="58"/>
    </row>
    <row r="661">
      <c r="D661" s="57"/>
      <c r="E661" s="58"/>
      <c r="F661" s="57"/>
      <c r="G661" s="58"/>
    </row>
    <row r="662">
      <c r="D662" s="57"/>
      <c r="E662" s="58"/>
      <c r="F662" s="57"/>
      <c r="G662" s="58"/>
    </row>
    <row r="663">
      <c r="D663" s="57"/>
      <c r="E663" s="58"/>
      <c r="F663" s="57"/>
      <c r="G663" s="58"/>
    </row>
    <row r="664">
      <c r="D664" s="57"/>
      <c r="E664" s="58"/>
      <c r="F664" s="57"/>
      <c r="G664" s="58"/>
    </row>
    <row r="665">
      <c r="D665" s="57"/>
      <c r="E665" s="58"/>
      <c r="F665" s="57"/>
      <c r="G665" s="58"/>
    </row>
    <row r="666">
      <c r="D666" s="57"/>
      <c r="E666" s="58"/>
      <c r="F666" s="57"/>
      <c r="G666" s="58"/>
    </row>
    <row r="667">
      <c r="D667" s="57"/>
      <c r="E667" s="58"/>
      <c r="F667" s="57"/>
      <c r="G667" s="58"/>
    </row>
    <row r="668">
      <c r="D668" s="57"/>
      <c r="E668" s="58"/>
      <c r="F668" s="57"/>
      <c r="G668" s="58"/>
    </row>
    <row r="669">
      <c r="D669" s="57"/>
      <c r="E669" s="58"/>
      <c r="F669" s="57"/>
      <c r="G669" s="58"/>
    </row>
    <row r="670">
      <c r="D670" s="57"/>
      <c r="E670" s="58"/>
      <c r="F670" s="57"/>
      <c r="G670" s="58"/>
    </row>
    <row r="671">
      <c r="D671" s="57"/>
      <c r="E671" s="58"/>
      <c r="F671" s="57"/>
      <c r="G671" s="58"/>
    </row>
    <row r="672">
      <c r="D672" s="57"/>
      <c r="E672" s="58"/>
      <c r="F672" s="57"/>
      <c r="G672" s="58"/>
    </row>
    <row r="673">
      <c r="D673" s="57"/>
      <c r="E673" s="58"/>
      <c r="F673" s="57"/>
      <c r="G673" s="58"/>
    </row>
    <row r="674">
      <c r="D674" s="57"/>
      <c r="E674" s="58"/>
      <c r="F674" s="57"/>
      <c r="G674" s="58"/>
    </row>
    <row r="675">
      <c r="D675" s="57"/>
      <c r="E675" s="58"/>
      <c r="F675" s="57"/>
      <c r="G675" s="58"/>
    </row>
    <row r="676">
      <c r="D676" s="57"/>
      <c r="E676" s="58"/>
      <c r="F676" s="57"/>
      <c r="G676" s="58"/>
    </row>
    <row r="677">
      <c r="D677" s="57"/>
      <c r="E677" s="58"/>
      <c r="F677" s="57"/>
      <c r="G677" s="58"/>
    </row>
    <row r="678">
      <c r="D678" s="57"/>
      <c r="E678" s="58"/>
      <c r="F678" s="57"/>
      <c r="G678" s="58"/>
    </row>
    <row r="679">
      <c r="D679" s="57"/>
      <c r="E679" s="58"/>
      <c r="F679" s="57"/>
      <c r="G679" s="58"/>
    </row>
    <row r="680">
      <c r="D680" s="57"/>
      <c r="E680" s="58"/>
      <c r="F680" s="57"/>
      <c r="G680" s="58"/>
    </row>
    <row r="681">
      <c r="D681" s="57"/>
      <c r="E681" s="58"/>
      <c r="F681" s="57"/>
      <c r="G681" s="58"/>
    </row>
    <row r="682">
      <c r="D682" s="57"/>
      <c r="E682" s="58"/>
      <c r="F682" s="57"/>
      <c r="G682" s="58"/>
    </row>
    <row r="683">
      <c r="D683" s="57"/>
      <c r="E683" s="58"/>
      <c r="F683" s="57"/>
      <c r="G683" s="58"/>
    </row>
    <row r="684">
      <c r="D684" s="57"/>
      <c r="E684" s="58"/>
      <c r="F684" s="57"/>
      <c r="G684" s="58"/>
    </row>
    <row r="685">
      <c r="D685" s="57"/>
      <c r="E685" s="58"/>
      <c r="F685" s="57"/>
      <c r="G685" s="58"/>
    </row>
    <row r="686">
      <c r="D686" s="57"/>
      <c r="E686" s="58"/>
      <c r="F686" s="57"/>
      <c r="G686" s="58"/>
    </row>
    <row r="687">
      <c r="D687" s="57"/>
      <c r="E687" s="58"/>
      <c r="F687" s="57"/>
      <c r="G687" s="58"/>
    </row>
    <row r="688">
      <c r="D688" s="57"/>
      <c r="E688" s="58"/>
      <c r="F688" s="57"/>
      <c r="G688" s="58"/>
    </row>
    <row r="689">
      <c r="D689" s="57"/>
      <c r="E689" s="58"/>
      <c r="F689" s="57"/>
      <c r="G689" s="58"/>
    </row>
    <row r="690">
      <c r="D690" s="57"/>
      <c r="E690" s="58"/>
      <c r="F690" s="57"/>
      <c r="G690" s="58"/>
    </row>
    <row r="691">
      <c r="D691" s="57"/>
      <c r="E691" s="58"/>
      <c r="F691" s="57"/>
      <c r="G691" s="58"/>
    </row>
    <row r="692">
      <c r="D692" s="57"/>
      <c r="E692" s="58"/>
      <c r="F692" s="57"/>
      <c r="G692" s="58"/>
    </row>
    <row r="693">
      <c r="D693" s="57"/>
      <c r="E693" s="58"/>
      <c r="F693" s="57"/>
      <c r="G693" s="58"/>
    </row>
    <row r="694">
      <c r="D694" s="57"/>
      <c r="E694" s="58"/>
      <c r="F694" s="57"/>
      <c r="G694" s="58"/>
    </row>
    <row r="695">
      <c r="D695" s="57"/>
      <c r="E695" s="58"/>
      <c r="F695" s="57"/>
      <c r="G695" s="58"/>
    </row>
    <row r="696">
      <c r="D696" s="57"/>
      <c r="E696" s="58"/>
      <c r="F696" s="57"/>
      <c r="G696" s="58"/>
    </row>
    <row r="697">
      <c r="D697" s="57"/>
      <c r="E697" s="58"/>
      <c r="F697" s="57"/>
      <c r="G697" s="58"/>
    </row>
    <row r="698">
      <c r="D698" s="57"/>
      <c r="E698" s="58"/>
      <c r="F698" s="57"/>
      <c r="G698" s="58"/>
    </row>
    <row r="699">
      <c r="D699" s="57"/>
      <c r="E699" s="58"/>
      <c r="F699" s="57"/>
      <c r="G699" s="58"/>
    </row>
    <row r="700">
      <c r="D700" s="57"/>
      <c r="E700" s="58"/>
      <c r="F700" s="57"/>
      <c r="G700" s="58"/>
    </row>
    <row r="701">
      <c r="D701" s="57"/>
      <c r="E701" s="58"/>
      <c r="F701" s="57"/>
      <c r="G701" s="58"/>
    </row>
    <row r="702">
      <c r="D702" s="57"/>
      <c r="E702" s="58"/>
      <c r="F702" s="57"/>
      <c r="G702" s="58"/>
    </row>
    <row r="703">
      <c r="D703" s="57"/>
      <c r="E703" s="58"/>
      <c r="F703" s="57"/>
      <c r="G703" s="58"/>
    </row>
    <row r="704">
      <c r="D704" s="57"/>
      <c r="E704" s="58"/>
      <c r="F704" s="57"/>
      <c r="G704" s="58"/>
    </row>
    <row r="705">
      <c r="D705" s="57"/>
      <c r="E705" s="58"/>
      <c r="F705" s="57"/>
      <c r="G705" s="58"/>
    </row>
    <row r="706">
      <c r="D706" s="57"/>
      <c r="E706" s="58"/>
      <c r="F706" s="57"/>
      <c r="G706" s="58"/>
    </row>
    <row r="707">
      <c r="D707" s="57"/>
      <c r="E707" s="58"/>
      <c r="F707" s="57"/>
      <c r="G707" s="58"/>
    </row>
    <row r="708">
      <c r="D708" s="57"/>
      <c r="E708" s="58"/>
      <c r="F708" s="57"/>
      <c r="G708" s="58"/>
    </row>
    <row r="709">
      <c r="D709" s="57"/>
      <c r="E709" s="58"/>
      <c r="F709" s="57"/>
      <c r="G709" s="58"/>
    </row>
    <row r="710">
      <c r="D710" s="57"/>
      <c r="E710" s="58"/>
      <c r="F710" s="57"/>
      <c r="G710" s="58"/>
    </row>
    <row r="711">
      <c r="D711" s="57"/>
      <c r="E711" s="58"/>
      <c r="F711" s="57"/>
      <c r="G711" s="58"/>
    </row>
    <row r="712">
      <c r="D712" s="57"/>
      <c r="E712" s="58"/>
      <c r="F712" s="57"/>
      <c r="G712" s="58"/>
    </row>
    <row r="713">
      <c r="D713" s="57"/>
      <c r="E713" s="58"/>
      <c r="F713" s="57"/>
      <c r="G713" s="58"/>
    </row>
    <row r="714">
      <c r="D714" s="57"/>
      <c r="E714" s="58"/>
      <c r="F714" s="57"/>
      <c r="G714" s="58"/>
    </row>
    <row r="715">
      <c r="D715" s="57"/>
      <c r="E715" s="58"/>
      <c r="F715" s="57"/>
      <c r="G715" s="58"/>
    </row>
    <row r="716">
      <c r="D716" s="57"/>
      <c r="E716" s="58"/>
      <c r="F716" s="57"/>
      <c r="G716" s="58"/>
    </row>
    <row r="717">
      <c r="D717" s="57"/>
      <c r="E717" s="58"/>
      <c r="F717" s="57"/>
      <c r="G717" s="58"/>
    </row>
    <row r="718">
      <c r="D718" s="57"/>
      <c r="E718" s="58"/>
      <c r="F718" s="57"/>
      <c r="G718" s="58"/>
    </row>
    <row r="719">
      <c r="D719" s="57"/>
      <c r="E719" s="58"/>
      <c r="F719" s="57"/>
      <c r="G719" s="58"/>
    </row>
    <row r="720">
      <c r="D720" s="57"/>
      <c r="E720" s="58"/>
      <c r="F720" s="57"/>
      <c r="G720" s="58"/>
    </row>
    <row r="721">
      <c r="D721" s="57"/>
      <c r="E721" s="58"/>
      <c r="F721" s="57"/>
      <c r="G721" s="58"/>
    </row>
    <row r="722">
      <c r="D722" s="57"/>
      <c r="E722" s="58"/>
      <c r="F722" s="57"/>
      <c r="G722" s="58"/>
    </row>
    <row r="723">
      <c r="D723" s="57"/>
      <c r="E723" s="58"/>
      <c r="F723" s="57"/>
      <c r="G723" s="58"/>
    </row>
    <row r="724">
      <c r="D724" s="57"/>
      <c r="E724" s="58"/>
      <c r="F724" s="57"/>
      <c r="G724" s="58"/>
    </row>
    <row r="725">
      <c r="D725" s="57"/>
      <c r="E725" s="58"/>
      <c r="F725" s="57"/>
      <c r="G725" s="58"/>
    </row>
    <row r="726">
      <c r="D726" s="57"/>
      <c r="E726" s="58"/>
      <c r="F726" s="57"/>
      <c r="G726" s="58"/>
    </row>
    <row r="727">
      <c r="D727" s="57"/>
      <c r="E727" s="58"/>
      <c r="F727" s="57"/>
      <c r="G727" s="58"/>
    </row>
    <row r="728">
      <c r="D728" s="57"/>
      <c r="E728" s="58"/>
      <c r="F728" s="57"/>
      <c r="G728" s="58"/>
    </row>
    <row r="729">
      <c r="D729" s="57"/>
      <c r="E729" s="58"/>
      <c r="F729" s="57"/>
      <c r="G729" s="58"/>
    </row>
    <row r="730">
      <c r="D730" s="57"/>
      <c r="E730" s="58"/>
      <c r="F730" s="57"/>
      <c r="G730" s="58"/>
    </row>
    <row r="731">
      <c r="D731" s="57"/>
      <c r="E731" s="58"/>
      <c r="F731" s="57"/>
      <c r="G731" s="58"/>
    </row>
    <row r="732">
      <c r="D732" s="57"/>
      <c r="E732" s="58"/>
      <c r="F732" s="57"/>
      <c r="G732" s="58"/>
    </row>
    <row r="733">
      <c r="D733" s="57"/>
      <c r="E733" s="58"/>
      <c r="F733" s="57"/>
      <c r="G733" s="58"/>
    </row>
    <row r="734">
      <c r="D734" s="57"/>
      <c r="E734" s="58"/>
      <c r="F734" s="57"/>
      <c r="G734" s="58"/>
    </row>
    <row r="735">
      <c r="D735" s="57"/>
      <c r="E735" s="58"/>
      <c r="F735" s="57"/>
      <c r="G735" s="58"/>
    </row>
    <row r="736">
      <c r="D736" s="57"/>
      <c r="E736" s="58"/>
      <c r="F736" s="57"/>
      <c r="G736" s="58"/>
    </row>
    <row r="737">
      <c r="D737" s="57"/>
      <c r="E737" s="58"/>
      <c r="F737" s="57"/>
      <c r="G737" s="58"/>
    </row>
    <row r="738">
      <c r="D738" s="57"/>
      <c r="E738" s="58"/>
      <c r="F738" s="57"/>
      <c r="G738" s="58"/>
    </row>
    <row r="739">
      <c r="D739" s="57"/>
      <c r="E739" s="58"/>
      <c r="F739" s="57"/>
      <c r="G739" s="58"/>
    </row>
    <row r="740">
      <c r="D740" s="57"/>
      <c r="E740" s="58"/>
      <c r="F740" s="57"/>
      <c r="G740" s="58"/>
    </row>
    <row r="741">
      <c r="D741" s="57"/>
      <c r="E741" s="58"/>
      <c r="F741" s="57"/>
      <c r="G741" s="58"/>
    </row>
    <row r="742">
      <c r="D742" s="57"/>
      <c r="E742" s="58"/>
      <c r="F742" s="57"/>
      <c r="G742" s="58"/>
    </row>
    <row r="743">
      <c r="D743" s="57"/>
      <c r="E743" s="58"/>
      <c r="F743" s="57"/>
      <c r="G743" s="58"/>
    </row>
    <row r="744">
      <c r="D744" s="57"/>
      <c r="E744" s="58"/>
      <c r="F744" s="57"/>
      <c r="G744" s="58"/>
    </row>
    <row r="745">
      <c r="D745" s="57"/>
      <c r="E745" s="58"/>
      <c r="F745" s="57"/>
      <c r="G745" s="58"/>
    </row>
    <row r="746">
      <c r="D746" s="57"/>
      <c r="E746" s="58"/>
      <c r="F746" s="57"/>
      <c r="G746" s="58"/>
    </row>
    <row r="747">
      <c r="D747" s="57"/>
      <c r="E747" s="58"/>
      <c r="F747" s="57"/>
      <c r="G747" s="58"/>
    </row>
    <row r="748">
      <c r="D748" s="57"/>
      <c r="E748" s="58"/>
      <c r="F748" s="57"/>
      <c r="G748" s="58"/>
    </row>
    <row r="749">
      <c r="D749" s="57"/>
      <c r="E749" s="58"/>
      <c r="F749" s="57"/>
      <c r="G749" s="58"/>
    </row>
    <row r="750">
      <c r="D750" s="57"/>
      <c r="E750" s="58"/>
      <c r="F750" s="57"/>
      <c r="G750" s="58"/>
    </row>
    <row r="751">
      <c r="D751" s="57"/>
      <c r="E751" s="58"/>
      <c r="F751" s="57"/>
      <c r="G751" s="58"/>
    </row>
    <row r="752">
      <c r="D752" s="57"/>
      <c r="E752" s="58"/>
      <c r="F752" s="57"/>
      <c r="G752" s="58"/>
    </row>
    <row r="753">
      <c r="D753" s="57"/>
      <c r="E753" s="58"/>
      <c r="F753" s="57"/>
      <c r="G753" s="58"/>
    </row>
    <row r="754">
      <c r="D754" s="57"/>
      <c r="E754" s="58"/>
      <c r="F754" s="57"/>
      <c r="G754" s="58"/>
    </row>
    <row r="755">
      <c r="D755" s="57"/>
      <c r="E755" s="58"/>
      <c r="F755" s="57"/>
      <c r="G755" s="58"/>
    </row>
    <row r="756">
      <c r="D756" s="57"/>
      <c r="E756" s="58"/>
      <c r="F756" s="57"/>
      <c r="G756" s="58"/>
    </row>
    <row r="757">
      <c r="D757" s="57"/>
      <c r="E757" s="58"/>
      <c r="F757" s="57"/>
      <c r="G757" s="58"/>
    </row>
    <row r="758">
      <c r="D758" s="57"/>
      <c r="E758" s="58"/>
      <c r="F758" s="57"/>
      <c r="G758" s="58"/>
    </row>
    <row r="759">
      <c r="D759" s="57"/>
      <c r="E759" s="58"/>
      <c r="F759" s="57"/>
      <c r="G759" s="58"/>
    </row>
    <row r="760">
      <c r="D760" s="57"/>
      <c r="E760" s="58"/>
      <c r="F760" s="57"/>
      <c r="G760" s="58"/>
    </row>
    <row r="761">
      <c r="D761" s="57"/>
      <c r="E761" s="58"/>
      <c r="F761" s="57"/>
      <c r="G761" s="58"/>
    </row>
    <row r="762">
      <c r="D762" s="57"/>
      <c r="E762" s="58"/>
      <c r="F762" s="57"/>
      <c r="G762" s="58"/>
    </row>
    <row r="763">
      <c r="D763" s="57"/>
      <c r="E763" s="58"/>
      <c r="F763" s="57"/>
      <c r="G763" s="58"/>
    </row>
    <row r="764">
      <c r="D764" s="57"/>
      <c r="E764" s="58"/>
      <c r="F764" s="57"/>
      <c r="G764" s="58"/>
    </row>
    <row r="765">
      <c r="D765" s="57"/>
      <c r="E765" s="58"/>
      <c r="F765" s="57"/>
      <c r="G765" s="58"/>
    </row>
    <row r="766">
      <c r="D766" s="57"/>
      <c r="E766" s="58"/>
      <c r="F766" s="57"/>
      <c r="G766" s="58"/>
    </row>
    <row r="767">
      <c r="D767" s="57"/>
      <c r="E767" s="58"/>
      <c r="F767" s="57"/>
      <c r="G767" s="58"/>
    </row>
    <row r="768">
      <c r="D768" s="57"/>
      <c r="E768" s="58"/>
      <c r="F768" s="57"/>
      <c r="G768" s="58"/>
    </row>
    <row r="769">
      <c r="D769" s="57"/>
      <c r="E769" s="58"/>
      <c r="F769" s="57"/>
      <c r="G769" s="58"/>
    </row>
    <row r="770">
      <c r="D770" s="57"/>
      <c r="E770" s="58"/>
      <c r="F770" s="57"/>
      <c r="G770" s="58"/>
    </row>
    <row r="771">
      <c r="D771" s="57"/>
      <c r="E771" s="58"/>
      <c r="F771" s="57"/>
      <c r="G771" s="58"/>
    </row>
    <row r="772">
      <c r="D772" s="57"/>
      <c r="E772" s="58"/>
      <c r="F772" s="57"/>
      <c r="G772" s="58"/>
    </row>
    <row r="773">
      <c r="D773" s="57"/>
      <c r="E773" s="58"/>
      <c r="F773" s="57"/>
      <c r="G773" s="58"/>
    </row>
    <row r="774">
      <c r="D774" s="57"/>
      <c r="E774" s="58"/>
      <c r="F774" s="57"/>
      <c r="G774" s="58"/>
    </row>
    <row r="775">
      <c r="D775" s="57"/>
      <c r="E775" s="58"/>
      <c r="F775" s="57"/>
      <c r="G775" s="58"/>
    </row>
    <row r="776">
      <c r="D776" s="57"/>
      <c r="E776" s="58"/>
      <c r="F776" s="57"/>
      <c r="G776" s="58"/>
    </row>
    <row r="777">
      <c r="D777" s="57"/>
      <c r="E777" s="58"/>
      <c r="F777" s="57"/>
      <c r="G777" s="58"/>
    </row>
    <row r="778">
      <c r="D778" s="57"/>
      <c r="E778" s="58"/>
      <c r="F778" s="57"/>
      <c r="G778" s="58"/>
    </row>
    <row r="779">
      <c r="D779" s="57"/>
      <c r="E779" s="58"/>
      <c r="F779" s="57"/>
      <c r="G779" s="58"/>
    </row>
    <row r="780">
      <c r="D780" s="57"/>
      <c r="E780" s="58"/>
      <c r="F780" s="57"/>
      <c r="G780" s="58"/>
    </row>
    <row r="781">
      <c r="D781" s="57"/>
      <c r="E781" s="58"/>
      <c r="F781" s="57"/>
      <c r="G781" s="58"/>
    </row>
    <row r="782">
      <c r="D782" s="57"/>
      <c r="E782" s="58"/>
      <c r="F782" s="57"/>
      <c r="G782" s="58"/>
    </row>
    <row r="783">
      <c r="D783" s="57"/>
      <c r="E783" s="58"/>
      <c r="F783" s="57"/>
      <c r="G783" s="58"/>
    </row>
    <row r="784">
      <c r="D784" s="57"/>
      <c r="E784" s="58"/>
      <c r="F784" s="57"/>
      <c r="G784" s="58"/>
    </row>
    <row r="785">
      <c r="D785" s="57"/>
      <c r="E785" s="58"/>
      <c r="F785" s="57"/>
      <c r="G785" s="58"/>
    </row>
    <row r="786">
      <c r="D786" s="57"/>
      <c r="E786" s="58"/>
      <c r="F786" s="57"/>
      <c r="G786" s="58"/>
    </row>
    <row r="787">
      <c r="D787" s="57"/>
      <c r="E787" s="58"/>
      <c r="F787" s="57"/>
      <c r="G787" s="58"/>
    </row>
    <row r="788">
      <c r="D788" s="57"/>
      <c r="E788" s="58"/>
      <c r="F788" s="57"/>
      <c r="G788" s="58"/>
    </row>
    <row r="789">
      <c r="D789" s="57"/>
      <c r="E789" s="58"/>
      <c r="F789" s="57"/>
      <c r="G789" s="58"/>
    </row>
    <row r="790">
      <c r="D790" s="57"/>
      <c r="E790" s="58"/>
      <c r="F790" s="57"/>
      <c r="G790" s="58"/>
    </row>
    <row r="791">
      <c r="D791" s="57"/>
      <c r="E791" s="58"/>
      <c r="F791" s="57"/>
      <c r="G791" s="58"/>
    </row>
    <row r="792">
      <c r="D792" s="57"/>
      <c r="E792" s="58"/>
      <c r="F792" s="57"/>
      <c r="G792" s="58"/>
    </row>
    <row r="793">
      <c r="D793" s="57"/>
      <c r="E793" s="58"/>
      <c r="F793" s="57"/>
      <c r="G793" s="58"/>
    </row>
    <row r="794">
      <c r="D794" s="57"/>
      <c r="E794" s="58"/>
      <c r="F794" s="57"/>
      <c r="G794" s="58"/>
    </row>
    <row r="795">
      <c r="D795" s="57"/>
      <c r="E795" s="58"/>
      <c r="F795" s="57"/>
      <c r="G795" s="58"/>
    </row>
    <row r="796">
      <c r="D796" s="57"/>
      <c r="E796" s="58"/>
      <c r="F796" s="57"/>
      <c r="G796" s="58"/>
    </row>
    <row r="797">
      <c r="D797" s="57"/>
      <c r="E797" s="58"/>
      <c r="F797" s="57"/>
      <c r="G797" s="58"/>
    </row>
    <row r="798">
      <c r="D798" s="57"/>
      <c r="E798" s="58"/>
      <c r="F798" s="57"/>
      <c r="G798" s="58"/>
    </row>
    <row r="799">
      <c r="D799" s="57"/>
      <c r="E799" s="58"/>
      <c r="F799" s="57"/>
      <c r="G799" s="58"/>
    </row>
    <row r="800">
      <c r="D800" s="57"/>
      <c r="E800" s="58"/>
      <c r="F800" s="57"/>
      <c r="G800" s="58"/>
    </row>
    <row r="801">
      <c r="D801" s="57"/>
      <c r="E801" s="58"/>
      <c r="F801" s="57"/>
      <c r="G801" s="58"/>
    </row>
    <row r="802">
      <c r="D802" s="57"/>
      <c r="E802" s="58"/>
      <c r="F802" s="57"/>
      <c r="G802" s="58"/>
    </row>
    <row r="803">
      <c r="D803" s="57"/>
      <c r="E803" s="58"/>
      <c r="F803" s="57"/>
      <c r="G803" s="58"/>
    </row>
    <row r="804">
      <c r="D804" s="57"/>
      <c r="E804" s="58"/>
      <c r="F804" s="57"/>
      <c r="G804" s="58"/>
    </row>
    <row r="805">
      <c r="D805" s="57"/>
      <c r="E805" s="58"/>
      <c r="F805" s="57"/>
      <c r="G805" s="58"/>
    </row>
    <row r="806">
      <c r="D806" s="57"/>
      <c r="E806" s="58"/>
      <c r="F806" s="57"/>
      <c r="G806" s="58"/>
    </row>
    <row r="807">
      <c r="D807" s="57"/>
      <c r="E807" s="58"/>
      <c r="F807" s="57"/>
      <c r="G807" s="58"/>
    </row>
    <row r="808">
      <c r="D808" s="57"/>
      <c r="E808" s="58"/>
      <c r="F808" s="57"/>
      <c r="G808" s="58"/>
    </row>
    <row r="809">
      <c r="D809" s="57"/>
      <c r="E809" s="58"/>
      <c r="F809" s="57"/>
      <c r="G809" s="58"/>
    </row>
    <row r="810">
      <c r="D810" s="57"/>
      <c r="E810" s="58"/>
      <c r="F810" s="57"/>
      <c r="G810" s="58"/>
    </row>
    <row r="811">
      <c r="D811" s="57"/>
      <c r="E811" s="58"/>
      <c r="F811" s="57"/>
      <c r="G811" s="58"/>
    </row>
    <row r="812">
      <c r="D812" s="57"/>
      <c r="E812" s="58"/>
      <c r="F812" s="57"/>
      <c r="G812" s="58"/>
    </row>
    <row r="813">
      <c r="D813" s="57"/>
      <c r="E813" s="58"/>
      <c r="F813" s="57"/>
      <c r="G813" s="58"/>
    </row>
    <row r="814">
      <c r="D814" s="57"/>
      <c r="E814" s="58"/>
      <c r="F814" s="57"/>
      <c r="G814" s="58"/>
    </row>
    <row r="815">
      <c r="D815" s="57"/>
      <c r="E815" s="58"/>
      <c r="F815" s="57"/>
      <c r="G815" s="58"/>
    </row>
    <row r="816">
      <c r="D816" s="57"/>
      <c r="E816" s="58"/>
      <c r="F816" s="57"/>
      <c r="G816" s="58"/>
    </row>
    <row r="817">
      <c r="D817" s="57"/>
      <c r="E817" s="58"/>
      <c r="F817" s="57"/>
      <c r="G817" s="58"/>
    </row>
    <row r="818">
      <c r="D818" s="57"/>
      <c r="E818" s="58"/>
      <c r="F818" s="57"/>
      <c r="G818" s="58"/>
    </row>
    <row r="819">
      <c r="D819" s="57"/>
      <c r="E819" s="58"/>
      <c r="F819" s="57"/>
      <c r="G819" s="58"/>
    </row>
    <row r="820">
      <c r="D820" s="57"/>
      <c r="E820" s="58"/>
      <c r="F820" s="57"/>
      <c r="G820" s="58"/>
    </row>
    <row r="821">
      <c r="D821" s="57"/>
      <c r="E821" s="58"/>
      <c r="F821" s="57"/>
      <c r="G821" s="58"/>
    </row>
    <row r="822">
      <c r="D822" s="57"/>
      <c r="E822" s="58"/>
      <c r="F822" s="57"/>
      <c r="G822" s="58"/>
    </row>
    <row r="823">
      <c r="D823" s="57"/>
      <c r="E823" s="58"/>
      <c r="F823" s="57"/>
      <c r="G823" s="58"/>
    </row>
    <row r="824">
      <c r="D824" s="57"/>
      <c r="E824" s="58"/>
      <c r="F824" s="57"/>
      <c r="G824" s="58"/>
    </row>
    <row r="825">
      <c r="D825" s="57"/>
      <c r="E825" s="58"/>
      <c r="F825" s="57"/>
      <c r="G825" s="58"/>
    </row>
    <row r="826">
      <c r="D826" s="57"/>
      <c r="E826" s="58"/>
      <c r="F826" s="57"/>
      <c r="G826" s="58"/>
    </row>
    <row r="827">
      <c r="D827" s="57"/>
      <c r="E827" s="58"/>
      <c r="F827" s="57"/>
      <c r="G827" s="58"/>
    </row>
    <row r="828">
      <c r="D828" s="57"/>
      <c r="E828" s="58"/>
      <c r="F828" s="57"/>
      <c r="G828" s="58"/>
    </row>
    <row r="829">
      <c r="D829" s="57"/>
      <c r="E829" s="58"/>
      <c r="F829" s="57"/>
      <c r="G829" s="58"/>
    </row>
    <row r="830">
      <c r="D830" s="57"/>
      <c r="E830" s="58"/>
      <c r="F830" s="57"/>
      <c r="G830" s="58"/>
    </row>
    <row r="831">
      <c r="D831" s="57"/>
      <c r="E831" s="58"/>
      <c r="F831" s="57"/>
      <c r="G831" s="58"/>
    </row>
    <row r="832">
      <c r="D832" s="57"/>
      <c r="E832" s="58"/>
      <c r="F832" s="57"/>
      <c r="G832" s="58"/>
    </row>
    <row r="833">
      <c r="D833" s="57"/>
      <c r="E833" s="58"/>
      <c r="F833" s="57"/>
      <c r="G833" s="58"/>
    </row>
    <row r="834">
      <c r="D834" s="57"/>
      <c r="E834" s="58"/>
      <c r="F834" s="57"/>
      <c r="G834" s="58"/>
    </row>
    <row r="835">
      <c r="D835" s="57"/>
      <c r="E835" s="58"/>
      <c r="F835" s="57"/>
      <c r="G835" s="58"/>
    </row>
    <row r="836">
      <c r="D836" s="57"/>
      <c r="E836" s="58"/>
      <c r="F836" s="57"/>
      <c r="G836" s="58"/>
    </row>
    <row r="837">
      <c r="D837" s="57"/>
      <c r="E837" s="58"/>
      <c r="F837" s="57"/>
      <c r="G837" s="58"/>
    </row>
    <row r="838">
      <c r="D838" s="57"/>
      <c r="E838" s="58"/>
      <c r="F838" s="57"/>
      <c r="G838" s="58"/>
    </row>
    <row r="839">
      <c r="D839" s="57"/>
      <c r="E839" s="58"/>
      <c r="F839" s="57"/>
      <c r="G839" s="58"/>
    </row>
    <row r="840">
      <c r="D840" s="57"/>
      <c r="E840" s="58"/>
      <c r="F840" s="57"/>
      <c r="G840" s="58"/>
    </row>
    <row r="841">
      <c r="D841" s="57"/>
      <c r="E841" s="58"/>
      <c r="F841" s="57"/>
      <c r="G841" s="58"/>
    </row>
    <row r="842">
      <c r="D842" s="57"/>
      <c r="E842" s="58"/>
      <c r="F842" s="57"/>
      <c r="G842" s="58"/>
    </row>
    <row r="843">
      <c r="D843" s="57"/>
      <c r="E843" s="58"/>
      <c r="F843" s="57"/>
      <c r="G843" s="58"/>
    </row>
    <row r="844">
      <c r="D844" s="57"/>
      <c r="E844" s="58"/>
      <c r="F844" s="57"/>
      <c r="G844" s="58"/>
    </row>
    <row r="845">
      <c r="D845" s="57"/>
      <c r="E845" s="58"/>
      <c r="F845" s="57"/>
      <c r="G845" s="58"/>
    </row>
    <row r="846">
      <c r="D846" s="57"/>
      <c r="E846" s="58"/>
      <c r="F846" s="57"/>
      <c r="G846" s="58"/>
    </row>
    <row r="847">
      <c r="D847" s="57"/>
      <c r="E847" s="58"/>
      <c r="F847" s="57"/>
      <c r="G847" s="58"/>
    </row>
    <row r="848">
      <c r="D848" s="57"/>
      <c r="E848" s="58"/>
      <c r="F848" s="57"/>
      <c r="G848" s="58"/>
    </row>
    <row r="849">
      <c r="D849" s="57"/>
      <c r="E849" s="58"/>
      <c r="F849" s="57"/>
      <c r="G849" s="58"/>
    </row>
    <row r="850">
      <c r="D850" s="57"/>
      <c r="E850" s="58"/>
      <c r="F850" s="57"/>
      <c r="G850" s="58"/>
    </row>
    <row r="851">
      <c r="D851" s="57"/>
      <c r="E851" s="58"/>
      <c r="F851" s="57"/>
      <c r="G851" s="58"/>
    </row>
    <row r="852">
      <c r="D852" s="57"/>
      <c r="E852" s="58"/>
      <c r="F852" s="57"/>
      <c r="G852" s="58"/>
    </row>
    <row r="853">
      <c r="D853" s="57"/>
      <c r="E853" s="58"/>
      <c r="F853" s="57"/>
      <c r="G853" s="58"/>
    </row>
    <row r="854">
      <c r="D854" s="57"/>
      <c r="E854" s="58"/>
      <c r="F854" s="57"/>
      <c r="G854" s="58"/>
    </row>
    <row r="855">
      <c r="D855" s="57"/>
      <c r="E855" s="58"/>
      <c r="F855" s="57"/>
      <c r="G855" s="58"/>
    </row>
    <row r="856">
      <c r="D856" s="57"/>
      <c r="E856" s="58"/>
      <c r="F856" s="57"/>
      <c r="G856" s="58"/>
    </row>
    <row r="857">
      <c r="D857" s="57"/>
      <c r="E857" s="58"/>
      <c r="F857" s="57"/>
      <c r="G857" s="58"/>
    </row>
    <row r="858">
      <c r="D858" s="57"/>
      <c r="E858" s="58"/>
      <c r="F858" s="57"/>
      <c r="G858" s="58"/>
    </row>
    <row r="859">
      <c r="D859" s="57"/>
      <c r="E859" s="58"/>
      <c r="F859" s="57"/>
      <c r="G859" s="58"/>
    </row>
    <row r="860">
      <c r="D860" s="57"/>
      <c r="E860" s="58"/>
      <c r="F860" s="57"/>
      <c r="G860" s="58"/>
    </row>
    <row r="861">
      <c r="D861" s="57"/>
      <c r="E861" s="58"/>
      <c r="F861" s="57"/>
      <c r="G861" s="58"/>
    </row>
    <row r="862">
      <c r="D862" s="57"/>
      <c r="E862" s="58"/>
      <c r="F862" s="57"/>
      <c r="G862" s="58"/>
    </row>
    <row r="863">
      <c r="D863" s="57"/>
      <c r="E863" s="58"/>
      <c r="F863" s="57"/>
      <c r="G863" s="58"/>
    </row>
    <row r="864">
      <c r="D864" s="57"/>
      <c r="E864" s="58"/>
      <c r="F864" s="57"/>
      <c r="G864" s="58"/>
    </row>
    <row r="865">
      <c r="D865" s="57"/>
      <c r="E865" s="58"/>
      <c r="F865" s="57"/>
      <c r="G865" s="58"/>
    </row>
    <row r="866">
      <c r="D866" s="57"/>
      <c r="E866" s="58"/>
      <c r="F866" s="57"/>
      <c r="G866" s="58"/>
    </row>
    <row r="867">
      <c r="D867" s="57"/>
      <c r="E867" s="58"/>
      <c r="F867" s="57"/>
      <c r="G867" s="58"/>
    </row>
    <row r="868">
      <c r="D868" s="57"/>
      <c r="E868" s="58"/>
      <c r="F868" s="57"/>
      <c r="G868" s="58"/>
    </row>
    <row r="869">
      <c r="D869" s="57"/>
      <c r="E869" s="58"/>
      <c r="F869" s="57"/>
      <c r="G869" s="58"/>
    </row>
    <row r="870">
      <c r="D870" s="57"/>
      <c r="E870" s="58"/>
      <c r="F870" s="57"/>
      <c r="G870" s="58"/>
    </row>
    <row r="871">
      <c r="D871" s="57"/>
      <c r="E871" s="58"/>
      <c r="F871" s="57"/>
      <c r="G871" s="58"/>
    </row>
    <row r="872">
      <c r="D872" s="57"/>
      <c r="E872" s="58"/>
      <c r="F872" s="57"/>
      <c r="G872" s="58"/>
    </row>
    <row r="873">
      <c r="D873" s="57"/>
      <c r="E873" s="58"/>
      <c r="F873" s="57"/>
      <c r="G873" s="58"/>
    </row>
    <row r="874">
      <c r="D874" s="57"/>
      <c r="E874" s="58"/>
      <c r="F874" s="57"/>
      <c r="G874" s="58"/>
    </row>
    <row r="875">
      <c r="D875" s="57"/>
      <c r="E875" s="58"/>
      <c r="F875" s="57"/>
      <c r="G875" s="58"/>
    </row>
    <row r="876">
      <c r="D876" s="57"/>
      <c r="E876" s="58"/>
      <c r="F876" s="57"/>
      <c r="G876" s="58"/>
    </row>
    <row r="877">
      <c r="D877" s="57"/>
      <c r="E877" s="58"/>
      <c r="F877" s="57"/>
      <c r="G877" s="58"/>
    </row>
    <row r="878">
      <c r="D878" s="57"/>
      <c r="E878" s="58"/>
      <c r="F878" s="57"/>
      <c r="G878" s="58"/>
    </row>
    <row r="879">
      <c r="D879" s="57"/>
      <c r="E879" s="58"/>
      <c r="F879" s="57"/>
      <c r="G879" s="58"/>
    </row>
    <row r="880">
      <c r="D880" s="57"/>
      <c r="E880" s="58"/>
      <c r="F880" s="57"/>
      <c r="G880" s="58"/>
    </row>
    <row r="881">
      <c r="D881" s="57"/>
      <c r="E881" s="58"/>
      <c r="F881" s="57"/>
      <c r="G881" s="58"/>
    </row>
    <row r="882">
      <c r="D882" s="57"/>
      <c r="E882" s="58"/>
      <c r="F882" s="57"/>
      <c r="G882" s="58"/>
    </row>
    <row r="883">
      <c r="D883" s="57"/>
      <c r="E883" s="58"/>
      <c r="F883" s="57"/>
      <c r="G883" s="58"/>
    </row>
    <row r="884">
      <c r="D884" s="57"/>
      <c r="E884" s="58"/>
      <c r="F884" s="57"/>
      <c r="G884" s="58"/>
    </row>
    <row r="885">
      <c r="D885" s="57"/>
      <c r="E885" s="58"/>
      <c r="F885" s="57"/>
      <c r="G885" s="58"/>
    </row>
    <row r="886">
      <c r="D886" s="57"/>
      <c r="E886" s="58"/>
      <c r="F886" s="57"/>
      <c r="G886" s="58"/>
    </row>
    <row r="887">
      <c r="D887" s="57"/>
      <c r="E887" s="58"/>
      <c r="F887" s="57"/>
      <c r="G887" s="58"/>
    </row>
    <row r="888">
      <c r="D888" s="57"/>
      <c r="E888" s="58"/>
      <c r="F888" s="57"/>
      <c r="G888" s="58"/>
    </row>
    <row r="889">
      <c r="D889" s="57"/>
      <c r="E889" s="58"/>
      <c r="F889" s="57"/>
      <c r="G889" s="58"/>
    </row>
    <row r="890">
      <c r="D890" s="57"/>
      <c r="E890" s="58"/>
      <c r="F890" s="57"/>
      <c r="G890" s="58"/>
    </row>
    <row r="891">
      <c r="D891" s="57"/>
      <c r="E891" s="58"/>
      <c r="F891" s="57"/>
      <c r="G891" s="58"/>
    </row>
    <row r="892">
      <c r="D892" s="57"/>
      <c r="E892" s="58"/>
      <c r="F892" s="57"/>
      <c r="G892" s="58"/>
    </row>
    <row r="893">
      <c r="D893" s="57"/>
      <c r="E893" s="58"/>
      <c r="F893" s="57"/>
      <c r="G893" s="58"/>
    </row>
    <row r="894">
      <c r="D894" s="57"/>
      <c r="E894" s="58"/>
      <c r="F894" s="57"/>
      <c r="G894" s="58"/>
    </row>
    <row r="895">
      <c r="D895" s="57"/>
      <c r="E895" s="58"/>
      <c r="F895" s="57"/>
      <c r="G895" s="58"/>
    </row>
    <row r="896">
      <c r="D896" s="57"/>
      <c r="E896" s="58"/>
      <c r="F896" s="57"/>
      <c r="G896" s="58"/>
    </row>
    <row r="897">
      <c r="D897" s="57"/>
      <c r="E897" s="58"/>
      <c r="F897" s="57"/>
      <c r="G897" s="58"/>
    </row>
    <row r="898">
      <c r="D898" s="57"/>
      <c r="E898" s="58"/>
      <c r="F898" s="57"/>
      <c r="G898" s="58"/>
    </row>
    <row r="899">
      <c r="D899" s="57"/>
      <c r="E899" s="58"/>
      <c r="F899" s="57"/>
      <c r="G899" s="58"/>
    </row>
    <row r="900">
      <c r="D900" s="57"/>
      <c r="E900" s="58"/>
      <c r="F900" s="57"/>
      <c r="G900" s="58"/>
    </row>
    <row r="901">
      <c r="D901" s="57"/>
      <c r="E901" s="58"/>
      <c r="F901" s="57"/>
      <c r="G901" s="58"/>
    </row>
    <row r="902">
      <c r="D902" s="57"/>
      <c r="E902" s="58"/>
      <c r="F902" s="57"/>
      <c r="G902" s="58"/>
    </row>
    <row r="903">
      <c r="D903" s="57"/>
      <c r="E903" s="58"/>
      <c r="F903" s="57"/>
      <c r="G903" s="58"/>
    </row>
    <row r="904">
      <c r="D904" s="57"/>
      <c r="E904" s="58"/>
      <c r="F904" s="57"/>
      <c r="G904" s="58"/>
    </row>
    <row r="905">
      <c r="D905" s="57"/>
      <c r="E905" s="58"/>
      <c r="F905" s="57"/>
      <c r="G905" s="58"/>
    </row>
    <row r="906">
      <c r="D906" s="57"/>
      <c r="E906" s="58"/>
      <c r="F906" s="57"/>
      <c r="G906" s="58"/>
    </row>
    <row r="907">
      <c r="D907" s="57"/>
      <c r="E907" s="58"/>
      <c r="F907" s="57"/>
      <c r="G907" s="58"/>
    </row>
    <row r="908">
      <c r="D908" s="57"/>
      <c r="E908" s="58"/>
      <c r="F908" s="57"/>
      <c r="G908" s="58"/>
    </row>
    <row r="909">
      <c r="D909" s="57"/>
      <c r="E909" s="58"/>
      <c r="F909" s="57"/>
      <c r="G909" s="58"/>
    </row>
    <row r="910">
      <c r="D910" s="57"/>
      <c r="E910" s="58"/>
      <c r="F910" s="57"/>
      <c r="G910" s="58"/>
    </row>
    <row r="911">
      <c r="D911" s="57"/>
      <c r="E911" s="58"/>
      <c r="F911" s="57"/>
      <c r="G911" s="58"/>
    </row>
    <row r="912">
      <c r="D912" s="57"/>
      <c r="E912" s="58"/>
      <c r="F912" s="57"/>
      <c r="G912" s="58"/>
    </row>
    <row r="913">
      <c r="D913" s="57"/>
      <c r="E913" s="58"/>
      <c r="F913" s="57"/>
      <c r="G913" s="58"/>
    </row>
    <row r="914">
      <c r="D914" s="57"/>
      <c r="E914" s="58"/>
      <c r="F914" s="57"/>
      <c r="G914" s="58"/>
    </row>
    <row r="915">
      <c r="D915" s="57"/>
      <c r="E915" s="58"/>
      <c r="F915" s="57"/>
      <c r="G915" s="58"/>
    </row>
    <row r="916">
      <c r="D916" s="57"/>
      <c r="E916" s="58"/>
      <c r="F916" s="57"/>
      <c r="G916" s="58"/>
    </row>
    <row r="917">
      <c r="D917" s="57"/>
      <c r="E917" s="58"/>
      <c r="F917" s="57"/>
      <c r="G917" s="58"/>
    </row>
    <row r="918">
      <c r="D918" s="57"/>
      <c r="E918" s="58"/>
      <c r="F918" s="57"/>
      <c r="G918" s="58"/>
    </row>
    <row r="919">
      <c r="D919" s="57"/>
      <c r="E919" s="58"/>
      <c r="F919" s="57"/>
      <c r="G919" s="58"/>
    </row>
    <row r="920">
      <c r="D920" s="57"/>
      <c r="E920" s="58"/>
      <c r="F920" s="57"/>
      <c r="G920" s="58"/>
    </row>
    <row r="921">
      <c r="D921" s="57"/>
      <c r="E921" s="58"/>
      <c r="F921" s="57"/>
      <c r="G921" s="58"/>
    </row>
    <row r="922">
      <c r="D922" s="57"/>
      <c r="E922" s="58"/>
      <c r="F922" s="57"/>
      <c r="G922" s="58"/>
    </row>
    <row r="923">
      <c r="D923" s="57"/>
      <c r="E923" s="58"/>
      <c r="F923" s="57"/>
      <c r="G923" s="58"/>
    </row>
    <row r="924">
      <c r="D924" s="57"/>
      <c r="E924" s="58"/>
      <c r="F924" s="57"/>
      <c r="G924" s="58"/>
    </row>
    <row r="925">
      <c r="D925" s="57"/>
      <c r="E925" s="58"/>
      <c r="F925" s="57"/>
      <c r="G925" s="58"/>
    </row>
    <row r="926">
      <c r="D926" s="57"/>
      <c r="E926" s="58"/>
      <c r="F926" s="57"/>
      <c r="G926" s="58"/>
    </row>
    <row r="927">
      <c r="D927" s="57"/>
      <c r="E927" s="58"/>
      <c r="F927" s="57"/>
      <c r="G927" s="58"/>
    </row>
    <row r="928">
      <c r="D928" s="57"/>
      <c r="E928" s="58"/>
      <c r="F928" s="57"/>
      <c r="G928" s="58"/>
    </row>
    <row r="929">
      <c r="D929" s="57"/>
      <c r="E929" s="58"/>
      <c r="F929" s="57"/>
      <c r="G929" s="58"/>
    </row>
    <row r="930">
      <c r="D930" s="57"/>
      <c r="E930" s="58"/>
      <c r="F930" s="57"/>
      <c r="G930" s="58"/>
    </row>
    <row r="931">
      <c r="D931" s="57"/>
      <c r="E931" s="58"/>
      <c r="F931" s="57"/>
      <c r="G931" s="58"/>
    </row>
    <row r="932">
      <c r="D932" s="57"/>
      <c r="E932" s="58"/>
      <c r="F932" s="57"/>
      <c r="G932" s="58"/>
    </row>
    <row r="933">
      <c r="D933" s="57"/>
      <c r="E933" s="58"/>
      <c r="F933" s="57"/>
      <c r="G933" s="58"/>
    </row>
    <row r="934">
      <c r="D934" s="57"/>
      <c r="E934" s="58"/>
      <c r="F934" s="57"/>
      <c r="G934" s="58"/>
    </row>
    <row r="935">
      <c r="D935" s="57"/>
      <c r="E935" s="58"/>
      <c r="F935" s="57"/>
      <c r="G935" s="58"/>
    </row>
    <row r="936">
      <c r="D936" s="57"/>
      <c r="E936" s="58"/>
      <c r="F936" s="57"/>
      <c r="G936" s="58"/>
    </row>
    <row r="937">
      <c r="D937" s="57"/>
      <c r="E937" s="58"/>
      <c r="F937" s="57"/>
      <c r="G937" s="58"/>
    </row>
    <row r="938">
      <c r="D938" s="57"/>
      <c r="E938" s="58"/>
      <c r="F938" s="57"/>
      <c r="G938" s="58"/>
    </row>
    <row r="939">
      <c r="D939" s="57"/>
      <c r="E939" s="58"/>
      <c r="F939" s="57"/>
      <c r="G939" s="58"/>
    </row>
    <row r="940">
      <c r="D940" s="57"/>
      <c r="E940" s="58"/>
      <c r="F940" s="57"/>
      <c r="G940" s="58"/>
    </row>
    <row r="941">
      <c r="D941" s="57"/>
      <c r="E941" s="58"/>
      <c r="F941" s="57"/>
      <c r="G941" s="58"/>
    </row>
    <row r="942">
      <c r="D942" s="57"/>
      <c r="E942" s="58"/>
      <c r="F942" s="57"/>
      <c r="G942" s="58"/>
    </row>
    <row r="943">
      <c r="D943" s="57"/>
      <c r="E943" s="58"/>
      <c r="F943" s="57"/>
      <c r="G943" s="58"/>
    </row>
    <row r="944">
      <c r="D944" s="57"/>
      <c r="E944" s="58"/>
      <c r="F944" s="57"/>
      <c r="G944" s="58"/>
    </row>
    <row r="945">
      <c r="D945" s="57"/>
      <c r="E945" s="58"/>
      <c r="F945" s="57"/>
      <c r="G945" s="58"/>
    </row>
    <row r="946">
      <c r="D946" s="57"/>
      <c r="E946" s="58"/>
      <c r="F946" s="57"/>
      <c r="G946" s="58"/>
    </row>
    <row r="947">
      <c r="D947" s="57"/>
      <c r="E947" s="58"/>
      <c r="F947" s="57"/>
      <c r="G947" s="58"/>
    </row>
    <row r="948">
      <c r="D948" s="57"/>
      <c r="E948" s="58"/>
      <c r="F948" s="57"/>
      <c r="G948" s="58"/>
    </row>
    <row r="949">
      <c r="D949" s="57"/>
      <c r="E949" s="58"/>
      <c r="F949" s="57"/>
      <c r="G949" s="58"/>
    </row>
    <row r="950">
      <c r="D950" s="57"/>
      <c r="E950" s="58"/>
      <c r="F950" s="57"/>
      <c r="G950" s="58"/>
    </row>
    <row r="951">
      <c r="D951" s="57"/>
      <c r="E951" s="58"/>
      <c r="F951" s="57"/>
      <c r="G951" s="58"/>
    </row>
    <row r="952">
      <c r="D952" s="57"/>
      <c r="E952" s="58"/>
      <c r="F952" s="57"/>
      <c r="G952" s="58"/>
    </row>
    <row r="953">
      <c r="D953" s="57"/>
      <c r="E953" s="58"/>
      <c r="F953" s="57"/>
      <c r="G953" s="58"/>
    </row>
    <row r="954">
      <c r="D954" s="57"/>
      <c r="E954" s="58"/>
      <c r="F954" s="57"/>
      <c r="G954" s="58"/>
    </row>
    <row r="955">
      <c r="D955" s="57"/>
      <c r="E955" s="58"/>
      <c r="F955" s="57"/>
      <c r="G955" s="58"/>
    </row>
    <row r="956">
      <c r="D956" s="57"/>
      <c r="E956" s="58"/>
      <c r="F956" s="57"/>
      <c r="G956" s="58"/>
    </row>
    <row r="957">
      <c r="D957" s="57"/>
      <c r="E957" s="58"/>
      <c r="F957" s="57"/>
      <c r="G957" s="58"/>
    </row>
    <row r="958">
      <c r="D958" s="57"/>
      <c r="E958" s="58"/>
      <c r="F958" s="57"/>
      <c r="G958" s="58"/>
    </row>
    <row r="959">
      <c r="D959" s="57"/>
      <c r="E959" s="58"/>
      <c r="F959" s="57"/>
      <c r="G959" s="58"/>
    </row>
    <row r="960">
      <c r="D960" s="57"/>
      <c r="E960" s="58"/>
      <c r="F960" s="57"/>
      <c r="G960" s="58"/>
    </row>
    <row r="961">
      <c r="D961" s="57"/>
      <c r="E961" s="58"/>
      <c r="F961" s="57"/>
      <c r="G961" s="58"/>
    </row>
    <row r="962">
      <c r="D962" s="57"/>
      <c r="E962" s="58"/>
      <c r="F962" s="57"/>
      <c r="G962" s="58"/>
    </row>
    <row r="963">
      <c r="D963" s="57"/>
      <c r="E963" s="58"/>
      <c r="F963" s="57"/>
      <c r="G963" s="58"/>
    </row>
    <row r="964">
      <c r="D964" s="57"/>
      <c r="E964" s="58"/>
      <c r="F964" s="57"/>
      <c r="G964" s="58"/>
    </row>
    <row r="965">
      <c r="D965" s="57"/>
      <c r="E965" s="58"/>
      <c r="F965" s="57"/>
      <c r="G965" s="58"/>
    </row>
    <row r="966">
      <c r="D966" s="57"/>
      <c r="E966" s="58"/>
      <c r="F966" s="57"/>
      <c r="G966" s="58"/>
    </row>
    <row r="967">
      <c r="D967" s="57"/>
      <c r="E967" s="58"/>
      <c r="F967" s="57"/>
      <c r="G967" s="58"/>
    </row>
    <row r="968">
      <c r="D968" s="57"/>
      <c r="E968" s="58"/>
      <c r="F968" s="57"/>
      <c r="G968" s="58"/>
    </row>
    <row r="969">
      <c r="D969" s="57"/>
      <c r="E969" s="58"/>
      <c r="F969" s="57"/>
      <c r="G969" s="58"/>
    </row>
    <row r="970">
      <c r="D970" s="57"/>
      <c r="E970" s="58"/>
      <c r="F970" s="57"/>
      <c r="G970" s="58"/>
    </row>
    <row r="971">
      <c r="D971" s="57"/>
      <c r="E971" s="58"/>
      <c r="F971" s="57"/>
      <c r="G971" s="58"/>
    </row>
    <row r="972">
      <c r="D972" s="57"/>
      <c r="E972" s="58"/>
      <c r="F972" s="57"/>
      <c r="G972" s="58"/>
    </row>
    <row r="973">
      <c r="D973" s="57"/>
      <c r="E973" s="58"/>
      <c r="F973" s="57"/>
      <c r="G973" s="58"/>
    </row>
    <row r="974">
      <c r="D974" s="57"/>
      <c r="E974" s="58"/>
      <c r="F974" s="57"/>
      <c r="G974" s="58"/>
    </row>
    <row r="975">
      <c r="D975" s="57"/>
      <c r="E975" s="58"/>
      <c r="F975" s="57"/>
      <c r="G975" s="58"/>
    </row>
    <row r="976">
      <c r="D976" s="57"/>
      <c r="E976" s="58"/>
      <c r="F976" s="57"/>
      <c r="G976" s="58"/>
    </row>
    <row r="977">
      <c r="D977" s="57"/>
      <c r="E977" s="58"/>
      <c r="F977" s="57"/>
      <c r="G977" s="58"/>
    </row>
    <row r="978">
      <c r="D978" s="57"/>
      <c r="E978" s="58"/>
      <c r="F978" s="57"/>
      <c r="G978" s="58"/>
    </row>
    <row r="979">
      <c r="D979" s="57"/>
      <c r="E979" s="58"/>
      <c r="F979" s="57"/>
      <c r="G979" s="58"/>
    </row>
    <row r="980">
      <c r="D980" s="57"/>
      <c r="E980" s="58"/>
      <c r="F980" s="57"/>
      <c r="G980" s="58"/>
    </row>
    <row r="981">
      <c r="D981" s="57"/>
      <c r="E981" s="58"/>
      <c r="F981" s="57"/>
      <c r="G981" s="58"/>
    </row>
    <row r="982">
      <c r="D982" s="57"/>
      <c r="E982" s="58"/>
      <c r="F982" s="57"/>
      <c r="G982" s="58"/>
    </row>
    <row r="983">
      <c r="D983" s="57"/>
      <c r="E983" s="58"/>
      <c r="F983" s="57"/>
      <c r="G983" s="58"/>
    </row>
    <row r="984">
      <c r="D984" s="57"/>
      <c r="E984" s="58"/>
      <c r="F984" s="57"/>
      <c r="G984" s="58"/>
    </row>
    <row r="985">
      <c r="D985" s="57"/>
      <c r="E985" s="58"/>
      <c r="F985" s="57"/>
      <c r="G985" s="58"/>
    </row>
    <row r="986">
      <c r="D986" s="57"/>
      <c r="E986" s="58"/>
      <c r="F986" s="57"/>
      <c r="G986" s="58"/>
    </row>
    <row r="987">
      <c r="D987" s="57"/>
      <c r="E987" s="58"/>
      <c r="F987" s="57"/>
      <c r="G987" s="58"/>
    </row>
    <row r="988">
      <c r="D988" s="57"/>
      <c r="E988" s="58"/>
      <c r="F988" s="57"/>
      <c r="G988" s="58"/>
    </row>
    <row r="989">
      <c r="D989" s="57"/>
      <c r="E989" s="58"/>
      <c r="F989" s="57"/>
      <c r="G989" s="58"/>
    </row>
    <row r="990">
      <c r="D990" s="57"/>
      <c r="E990" s="58"/>
      <c r="F990" s="57"/>
      <c r="G990" s="58"/>
    </row>
    <row r="991">
      <c r="D991" s="57"/>
      <c r="E991" s="58"/>
      <c r="F991" s="57"/>
      <c r="G991" s="58"/>
    </row>
    <row r="992">
      <c r="D992" s="57"/>
      <c r="E992" s="58"/>
      <c r="F992" s="57"/>
      <c r="G992" s="58"/>
    </row>
    <row r="993">
      <c r="D993" s="57"/>
      <c r="E993" s="58"/>
      <c r="F993" s="57"/>
      <c r="G993" s="58"/>
    </row>
    <row r="994">
      <c r="D994" s="57"/>
      <c r="E994" s="58"/>
      <c r="F994" s="57"/>
      <c r="G994" s="58"/>
    </row>
    <row r="995">
      <c r="D995" s="57"/>
      <c r="E995" s="58"/>
      <c r="F995" s="57"/>
      <c r="G995" s="58"/>
    </row>
    <row r="996">
      <c r="D996" s="57"/>
      <c r="E996" s="58"/>
      <c r="F996" s="57"/>
      <c r="G996" s="58"/>
    </row>
    <row r="997">
      <c r="D997" s="57"/>
      <c r="E997" s="58"/>
      <c r="F997" s="57"/>
      <c r="G997" s="58"/>
    </row>
    <row r="998">
      <c r="D998" s="57"/>
      <c r="E998" s="58"/>
      <c r="F998" s="57"/>
      <c r="G998" s="58"/>
    </row>
    <row r="999">
      <c r="D999" s="57"/>
      <c r="E999" s="58"/>
      <c r="F999" s="57"/>
      <c r="G999" s="58"/>
    </row>
    <row r="1000">
      <c r="D1000" s="57"/>
      <c r="E1000" s="58"/>
      <c r="F1000" s="57"/>
      <c r="G1000" s="58"/>
    </row>
    <row r="1001">
      <c r="D1001" s="57"/>
      <c r="E1001" s="58"/>
      <c r="F1001" s="57"/>
      <c r="G1001" s="58"/>
    </row>
    <row r="1002">
      <c r="D1002" s="57"/>
      <c r="E1002" s="58"/>
      <c r="F1002" s="57"/>
      <c r="G1002" s="58"/>
    </row>
    <row r="1003">
      <c r="D1003" s="57"/>
      <c r="E1003" s="58"/>
      <c r="F1003" s="57"/>
      <c r="G1003" s="58"/>
    </row>
    <row r="1004">
      <c r="D1004" s="57"/>
      <c r="E1004" s="58"/>
      <c r="F1004" s="57"/>
      <c r="G1004" s="58"/>
    </row>
    <row r="1005">
      <c r="D1005" s="57"/>
      <c r="E1005" s="58"/>
      <c r="F1005" s="57"/>
      <c r="G1005" s="58"/>
    </row>
    <row r="1006">
      <c r="D1006" s="57"/>
      <c r="E1006" s="58"/>
      <c r="F1006" s="57"/>
      <c r="G1006" s="58"/>
    </row>
    <row r="1007">
      <c r="D1007" s="57"/>
      <c r="E1007" s="58"/>
      <c r="F1007" s="57"/>
      <c r="G1007" s="58"/>
    </row>
    <row r="1008">
      <c r="D1008" s="57"/>
      <c r="E1008" s="58"/>
      <c r="F1008" s="57"/>
      <c r="G1008" s="58"/>
    </row>
    <row r="1009">
      <c r="D1009" s="57"/>
      <c r="E1009" s="58"/>
      <c r="F1009" s="57"/>
      <c r="G1009" s="58"/>
    </row>
    <row r="1010">
      <c r="D1010" s="57"/>
      <c r="E1010" s="58"/>
      <c r="F1010" s="57"/>
      <c r="G1010" s="58"/>
    </row>
    <row r="1011">
      <c r="D1011" s="57"/>
      <c r="E1011" s="58"/>
      <c r="F1011" s="57"/>
      <c r="G1011" s="58"/>
    </row>
    <row r="1012">
      <c r="D1012" s="57"/>
      <c r="E1012" s="58"/>
      <c r="F1012" s="57"/>
      <c r="G1012" s="58"/>
    </row>
    <row r="1013">
      <c r="D1013" s="57"/>
      <c r="E1013" s="58"/>
      <c r="F1013" s="57"/>
      <c r="G1013" s="58"/>
    </row>
    <row r="1014">
      <c r="D1014" s="57"/>
      <c r="E1014" s="58"/>
      <c r="F1014" s="57"/>
      <c r="G1014" s="58"/>
    </row>
    <row r="1015">
      <c r="D1015" s="57"/>
      <c r="E1015" s="58"/>
      <c r="F1015" s="57"/>
      <c r="G1015" s="58"/>
    </row>
    <row r="1016">
      <c r="D1016" s="57"/>
      <c r="E1016" s="58"/>
      <c r="F1016" s="57"/>
      <c r="G1016" s="58"/>
    </row>
    <row r="1017">
      <c r="D1017" s="57"/>
      <c r="E1017" s="58"/>
      <c r="F1017" s="57"/>
      <c r="G1017" s="58"/>
    </row>
    <row r="1018">
      <c r="D1018" s="57"/>
      <c r="E1018" s="58"/>
      <c r="F1018" s="57"/>
      <c r="G1018" s="58"/>
    </row>
    <row r="1019">
      <c r="D1019" s="57"/>
      <c r="E1019" s="58"/>
      <c r="F1019" s="57"/>
      <c r="G1019" s="58"/>
    </row>
    <row r="1020">
      <c r="D1020" s="57"/>
      <c r="E1020" s="58"/>
      <c r="F1020" s="57"/>
      <c r="G1020" s="58"/>
    </row>
    <row r="1021">
      <c r="D1021" s="57"/>
      <c r="E1021" s="58"/>
      <c r="F1021" s="57"/>
      <c r="G1021" s="58"/>
    </row>
    <row r="1022">
      <c r="D1022" s="57"/>
      <c r="E1022" s="58"/>
      <c r="F1022" s="57"/>
      <c r="G1022" s="58"/>
    </row>
    <row r="1023">
      <c r="D1023" s="57"/>
      <c r="E1023" s="58"/>
      <c r="F1023" s="57"/>
      <c r="G1023" s="58"/>
    </row>
    <row r="1024">
      <c r="D1024" s="57"/>
      <c r="E1024" s="58"/>
      <c r="F1024" s="57"/>
      <c r="G1024" s="58"/>
    </row>
    <row r="1025">
      <c r="D1025" s="57"/>
      <c r="E1025" s="58"/>
      <c r="F1025" s="57"/>
      <c r="G1025" s="58"/>
    </row>
    <row r="1026">
      <c r="D1026" s="57"/>
      <c r="E1026" s="58"/>
      <c r="F1026" s="57"/>
      <c r="G1026" s="58"/>
    </row>
    <row r="1027">
      <c r="D1027" s="57"/>
      <c r="E1027" s="58"/>
      <c r="F1027" s="57"/>
      <c r="G1027" s="58"/>
    </row>
    <row r="1028">
      <c r="D1028" s="57"/>
      <c r="E1028" s="58"/>
      <c r="F1028" s="57"/>
      <c r="G1028" s="58"/>
    </row>
    <row r="1029">
      <c r="D1029" s="57"/>
      <c r="E1029" s="58"/>
      <c r="F1029" s="57"/>
      <c r="G1029" s="58"/>
    </row>
    <row r="1030">
      <c r="D1030" s="57"/>
      <c r="E1030" s="58"/>
      <c r="F1030" s="57"/>
      <c r="G1030" s="58"/>
    </row>
    <row r="1031">
      <c r="D1031" s="57"/>
      <c r="E1031" s="58"/>
      <c r="F1031" s="57"/>
      <c r="G1031" s="58"/>
    </row>
    <row r="1032">
      <c r="D1032" s="57"/>
      <c r="E1032" s="58"/>
      <c r="F1032" s="57"/>
      <c r="G1032" s="58"/>
    </row>
    <row r="1033">
      <c r="D1033" s="57"/>
      <c r="E1033" s="58"/>
      <c r="F1033" s="57"/>
      <c r="G1033" s="58"/>
    </row>
    <row r="1034">
      <c r="D1034" s="57"/>
      <c r="E1034" s="58"/>
      <c r="F1034" s="57"/>
      <c r="G1034" s="58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6.88"/>
    <col customWidth="1" min="4" max="4" width="33.63"/>
    <col customWidth="1" min="6" max="6" width="25.88"/>
    <col customWidth="1" min="7" max="7" width="38.63"/>
  </cols>
  <sheetData>
    <row r="3">
      <c r="B3" s="1" t="s">
        <v>231</v>
      </c>
      <c r="C3" s="1" t="s">
        <v>232</v>
      </c>
      <c r="D3" s="1" t="s">
        <v>233</v>
      </c>
      <c r="E3" s="1" t="s">
        <v>234</v>
      </c>
    </row>
    <row r="4">
      <c r="B4" s="1" t="s">
        <v>235</v>
      </c>
      <c r="D4" s="1" t="s">
        <v>236</v>
      </c>
      <c r="E4" s="1" t="s">
        <v>237</v>
      </c>
    </row>
    <row r="5">
      <c r="B5" s="1" t="s">
        <v>238</v>
      </c>
      <c r="D5" s="1" t="s">
        <v>239</v>
      </c>
      <c r="E5" s="1" t="s">
        <v>240</v>
      </c>
    </row>
    <row r="6">
      <c r="B6" s="1" t="s">
        <v>235</v>
      </c>
    </row>
    <row r="7">
      <c r="B7" s="1" t="s">
        <v>241</v>
      </c>
      <c r="C7" s="1" t="s">
        <v>232</v>
      </c>
    </row>
    <row r="8">
      <c r="B8" s="1" t="s">
        <v>235</v>
      </c>
    </row>
    <row r="9">
      <c r="B9" s="1" t="s">
        <v>238</v>
      </c>
    </row>
    <row r="10">
      <c r="B10" s="1" t="s">
        <v>235</v>
      </c>
    </row>
    <row r="11">
      <c r="B11" s="1" t="s">
        <v>233</v>
      </c>
      <c r="C11" s="1" t="s">
        <v>234</v>
      </c>
    </row>
    <row r="12">
      <c r="B12" s="1" t="s">
        <v>236</v>
      </c>
      <c r="C12" s="1" t="s">
        <v>237</v>
      </c>
    </row>
    <row r="13">
      <c r="B13" s="1" t="s">
        <v>239</v>
      </c>
      <c r="C13" s="1" t="s">
        <v>240</v>
      </c>
    </row>
    <row r="15">
      <c r="B15" s="1" t="s">
        <v>242</v>
      </c>
    </row>
    <row r="17">
      <c r="B17" s="1" t="s">
        <v>243</v>
      </c>
      <c r="C17" s="1" t="s">
        <v>244</v>
      </c>
      <c r="D17" s="1" t="s">
        <v>245</v>
      </c>
      <c r="E17" s="1" t="s">
        <v>246</v>
      </c>
    </row>
    <row r="18">
      <c r="D18" s="1" t="s">
        <v>247</v>
      </c>
      <c r="E18" s="1" t="s">
        <v>246</v>
      </c>
    </row>
    <row r="19">
      <c r="D19" s="1" t="s">
        <v>248</v>
      </c>
      <c r="E19" s="1" t="s">
        <v>246</v>
      </c>
    </row>
    <row r="20">
      <c r="D20" s="1" t="s">
        <v>249</v>
      </c>
      <c r="E20" s="1" t="s">
        <v>246</v>
      </c>
    </row>
    <row r="22">
      <c r="D22" s="1" t="s">
        <v>250</v>
      </c>
      <c r="E22" s="1" t="s">
        <v>246</v>
      </c>
    </row>
    <row r="24">
      <c r="C24" s="1" t="s">
        <v>244</v>
      </c>
      <c r="D24" s="1" t="s">
        <v>251</v>
      </c>
      <c r="E24" s="1" t="s">
        <v>252</v>
      </c>
    </row>
    <row r="25">
      <c r="E25" s="1" t="s">
        <v>235</v>
      </c>
      <c r="G25" s="1"/>
    </row>
    <row r="26">
      <c r="E26" s="1" t="s">
        <v>253</v>
      </c>
      <c r="G26" s="1"/>
    </row>
    <row r="27">
      <c r="F27" s="1" t="s">
        <v>254</v>
      </c>
    </row>
    <row r="28">
      <c r="G28" s="1"/>
    </row>
    <row r="29">
      <c r="D29" s="1" t="s">
        <v>255</v>
      </c>
      <c r="E29" s="1" t="s">
        <v>256</v>
      </c>
      <c r="G29" s="1"/>
    </row>
    <row r="30">
      <c r="E30" s="1" t="s">
        <v>257</v>
      </c>
      <c r="G30" s="1"/>
    </row>
    <row r="31">
      <c r="E31" s="1" t="s">
        <v>258</v>
      </c>
      <c r="G31" s="1"/>
    </row>
    <row r="32">
      <c r="G32" s="1"/>
    </row>
    <row r="33">
      <c r="D33" s="1" t="s">
        <v>259</v>
      </c>
      <c r="E33" s="1" t="s">
        <v>260</v>
      </c>
      <c r="F33" s="1" t="s">
        <v>261</v>
      </c>
      <c r="G33" s="1" t="s">
        <v>42</v>
      </c>
      <c r="H33" s="1" t="s">
        <v>43</v>
      </c>
    </row>
    <row r="34">
      <c r="E34" s="1" t="s">
        <v>262</v>
      </c>
      <c r="F34" s="1" t="s">
        <v>261</v>
      </c>
      <c r="G34" s="1" t="s">
        <v>46</v>
      </c>
      <c r="H34" s="1" t="s">
        <v>47</v>
      </c>
    </row>
    <row r="35">
      <c r="E35" s="1" t="s">
        <v>263</v>
      </c>
      <c r="F35" s="1" t="s">
        <v>261</v>
      </c>
      <c r="G35" s="1" t="s">
        <v>46</v>
      </c>
      <c r="H35" s="1" t="s">
        <v>264</v>
      </c>
    </row>
    <row r="37">
      <c r="E37" s="1" t="s">
        <v>265</v>
      </c>
      <c r="F37" s="1" t="s">
        <v>244</v>
      </c>
      <c r="G37" s="1" t="s">
        <v>19</v>
      </c>
      <c r="H37" s="1" t="s">
        <v>266</v>
      </c>
    </row>
    <row r="38">
      <c r="G38" s="1" t="s">
        <v>189</v>
      </c>
      <c r="H38" s="1" t="s">
        <v>266</v>
      </c>
    </row>
    <row r="39">
      <c r="G39" s="1" t="s">
        <v>23</v>
      </c>
      <c r="H39" s="1" t="s">
        <v>266</v>
      </c>
    </row>
    <row r="40">
      <c r="G40" s="1" t="s">
        <v>5</v>
      </c>
      <c r="H40" s="1" t="s">
        <v>266</v>
      </c>
    </row>
    <row r="41">
      <c r="G41" s="1" t="s">
        <v>27</v>
      </c>
      <c r="H41" s="1" t="s">
        <v>267</v>
      </c>
    </row>
    <row r="43">
      <c r="D43" s="1" t="s">
        <v>268</v>
      </c>
      <c r="E43" s="1" t="s">
        <v>269</v>
      </c>
    </row>
    <row r="44">
      <c r="E44" s="1" t="s">
        <v>270</v>
      </c>
    </row>
    <row r="46">
      <c r="D46" s="1" t="s">
        <v>271</v>
      </c>
      <c r="E46" s="1" t="s">
        <v>272</v>
      </c>
    </row>
    <row r="48">
      <c r="D48" s="1" t="s">
        <v>273</v>
      </c>
      <c r="E48" s="1" t="s">
        <v>274</v>
      </c>
      <c r="F48" s="1" t="s">
        <v>275</v>
      </c>
    </row>
    <row r="49">
      <c r="E49" s="1" t="s">
        <v>276</v>
      </c>
      <c r="F49" s="1" t="s">
        <v>277</v>
      </c>
    </row>
    <row r="51">
      <c r="D51" s="1" t="s">
        <v>278</v>
      </c>
      <c r="E51" s="1" t="s">
        <v>276</v>
      </c>
      <c r="F51" s="1" t="s">
        <v>275</v>
      </c>
    </row>
    <row r="52">
      <c r="E52" s="1" t="s">
        <v>279</v>
      </c>
      <c r="F52" s="1" t="s">
        <v>275</v>
      </c>
    </row>
    <row r="53">
      <c r="B53" s="1"/>
      <c r="D53" s="1"/>
      <c r="E53" s="1"/>
    </row>
    <row r="54">
      <c r="B54" s="1"/>
      <c r="D54" s="1" t="s">
        <v>280</v>
      </c>
      <c r="E54" s="1" t="s">
        <v>281</v>
      </c>
    </row>
    <row r="55">
      <c r="B55" s="1"/>
      <c r="D55" s="1" t="s">
        <v>235</v>
      </c>
      <c r="E55" s="1" t="s">
        <v>98</v>
      </c>
      <c r="F55" s="1" t="s">
        <v>275</v>
      </c>
    </row>
    <row r="56">
      <c r="B56" s="1"/>
      <c r="D56" s="1" t="s">
        <v>282</v>
      </c>
      <c r="E56" s="1" t="s">
        <v>276</v>
      </c>
      <c r="F56" s="1" t="s">
        <v>275</v>
      </c>
    </row>
    <row r="57">
      <c r="B57" s="1"/>
      <c r="D57" s="1"/>
      <c r="E57" s="1" t="s">
        <v>283</v>
      </c>
      <c r="F57" s="1" t="s">
        <v>275</v>
      </c>
    </row>
    <row r="58">
      <c r="B58" s="1"/>
      <c r="D58" s="1"/>
      <c r="E58" s="1" t="s">
        <v>284</v>
      </c>
    </row>
    <row r="59">
      <c r="B59" s="1"/>
      <c r="D59" s="1"/>
      <c r="E59" s="1"/>
    </row>
    <row r="60">
      <c r="B60" s="1"/>
      <c r="D60" s="1" t="s">
        <v>285</v>
      </c>
      <c r="E60" s="1" t="s">
        <v>256</v>
      </c>
    </row>
    <row r="61">
      <c r="B61" s="1"/>
      <c r="E61" s="1" t="s">
        <v>257</v>
      </c>
    </row>
    <row r="62">
      <c r="B62" s="1"/>
      <c r="E62" s="1" t="s">
        <v>258</v>
      </c>
    </row>
    <row r="63">
      <c r="B63" s="1"/>
      <c r="D63" s="1"/>
      <c r="E63" s="1"/>
    </row>
    <row r="64">
      <c r="B64" s="1" t="s">
        <v>286</v>
      </c>
      <c r="D64" s="1" t="s">
        <v>287</v>
      </c>
      <c r="E64" s="1" t="s">
        <v>288</v>
      </c>
    </row>
    <row r="65">
      <c r="F65" s="1" t="s">
        <v>274</v>
      </c>
      <c r="G65" s="1" t="s">
        <v>289</v>
      </c>
    </row>
    <row r="66">
      <c r="F66" s="1" t="s">
        <v>276</v>
      </c>
      <c r="G66" s="1" t="s">
        <v>290</v>
      </c>
    </row>
    <row r="68">
      <c r="B68" s="1" t="s">
        <v>286</v>
      </c>
      <c r="D68" s="1" t="s">
        <v>291</v>
      </c>
      <c r="E68" s="1" t="s">
        <v>288</v>
      </c>
    </row>
    <row r="69">
      <c r="D69" s="1" t="s">
        <v>235</v>
      </c>
      <c r="F69" s="1" t="s">
        <v>276</v>
      </c>
      <c r="G69" s="1" t="s">
        <v>277</v>
      </c>
    </row>
    <row r="70">
      <c r="D70" s="59" t="s">
        <v>292</v>
      </c>
    </row>
    <row r="71">
      <c r="D71" s="1" t="s">
        <v>235</v>
      </c>
    </row>
    <row r="72">
      <c r="D72" s="1" t="s">
        <v>293</v>
      </c>
    </row>
    <row r="73">
      <c r="D73" s="1" t="s">
        <v>235</v>
      </c>
    </row>
    <row r="74">
      <c r="D74" s="1" t="s">
        <v>294</v>
      </c>
      <c r="E74" s="1" t="s">
        <v>295</v>
      </c>
    </row>
    <row r="75">
      <c r="D75" s="1" t="s">
        <v>235</v>
      </c>
    </row>
    <row r="76">
      <c r="D76" s="1" t="s">
        <v>296</v>
      </c>
    </row>
    <row r="77">
      <c r="D77" s="1" t="s">
        <v>235</v>
      </c>
    </row>
    <row r="78">
      <c r="D78" s="1" t="s">
        <v>297</v>
      </c>
    </row>
    <row r="79">
      <c r="D79" s="1" t="s">
        <v>235</v>
      </c>
    </row>
    <row r="80">
      <c r="D80" s="1" t="s">
        <v>298</v>
      </c>
    </row>
    <row r="81">
      <c r="D81" s="1" t="s">
        <v>235</v>
      </c>
    </row>
    <row r="82">
      <c r="D82" s="1" t="s">
        <v>299</v>
      </c>
      <c r="E82" s="1" t="s">
        <v>300</v>
      </c>
    </row>
    <row r="83">
      <c r="D83" s="1" t="s">
        <v>235</v>
      </c>
    </row>
    <row r="84">
      <c r="D84" s="1" t="s">
        <v>227</v>
      </c>
    </row>
    <row r="85">
      <c r="D85" s="1" t="s">
        <v>235</v>
      </c>
    </row>
    <row r="86">
      <c r="B86" s="1" t="s">
        <v>286</v>
      </c>
      <c r="D86" s="1" t="s">
        <v>301</v>
      </c>
      <c r="E86" s="1" t="s">
        <v>302</v>
      </c>
    </row>
    <row r="87">
      <c r="D87" s="1" t="s">
        <v>235</v>
      </c>
    </row>
    <row r="88">
      <c r="D88" s="1" t="s">
        <v>303</v>
      </c>
      <c r="E88" s="1" t="s">
        <v>304</v>
      </c>
    </row>
    <row r="89">
      <c r="D89" s="1" t="s">
        <v>235</v>
      </c>
    </row>
    <row r="90">
      <c r="D90" s="1" t="s">
        <v>305</v>
      </c>
      <c r="E90" s="1" t="s">
        <v>304</v>
      </c>
    </row>
    <row r="91">
      <c r="D91" s="1" t="s">
        <v>235</v>
      </c>
    </row>
    <row r="92">
      <c r="B92" s="1" t="s">
        <v>286</v>
      </c>
      <c r="D92" s="1" t="s">
        <v>306</v>
      </c>
      <c r="E92" s="1" t="s">
        <v>307</v>
      </c>
    </row>
    <row r="93">
      <c r="D93" s="1" t="s">
        <v>235</v>
      </c>
    </row>
    <row r="94">
      <c r="D94" s="1" t="s">
        <v>308</v>
      </c>
    </row>
    <row r="95">
      <c r="D95" s="1" t="s">
        <v>235</v>
      </c>
    </row>
    <row r="96">
      <c r="D96" s="1" t="s">
        <v>309</v>
      </c>
      <c r="E96" s="1" t="s">
        <v>310</v>
      </c>
    </row>
    <row r="97">
      <c r="D97" s="1" t="s">
        <v>235</v>
      </c>
    </row>
    <row r="98">
      <c r="D98" s="1" t="s">
        <v>311</v>
      </c>
    </row>
    <row r="99">
      <c r="D99" s="1" t="s">
        <v>235</v>
      </c>
    </row>
    <row r="100">
      <c r="D100" s="1" t="s">
        <v>312</v>
      </c>
    </row>
    <row r="102">
      <c r="B102" s="60" t="s">
        <v>313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8.0"/>
    <col customWidth="1" min="3" max="3" width="61.63"/>
    <col customWidth="1" min="4" max="4" width="7.25"/>
    <col customWidth="1" min="5" max="6" width="15.63"/>
    <col customWidth="1" min="7" max="8" width="19.63"/>
  </cols>
  <sheetData>
    <row r="1">
      <c r="D1" s="1"/>
      <c r="E1" s="61"/>
      <c r="F1" s="1"/>
      <c r="G1" s="1"/>
    </row>
    <row r="2">
      <c r="D2" s="1"/>
      <c r="E2" s="61" t="s">
        <v>161</v>
      </c>
      <c r="F2" s="1" t="s">
        <v>161</v>
      </c>
      <c r="G2" s="1" t="s">
        <v>162</v>
      </c>
      <c r="H2" s="1" t="s">
        <v>162</v>
      </c>
    </row>
    <row r="3">
      <c r="D3" s="1"/>
      <c r="E3" s="61" t="s">
        <v>164</v>
      </c>
      <c r="F3" s="1" t="s">
        <v>165</v>
      </c>
      <c r="G3" s="1" t="s">
        <v>166</v>
      </c>
      <c r="H3" s="1" t="s">
        <v>167</v>
      </c>
    </row>
    <row r="4">
      <c r="C4" s="1" t="s">
        <v>98</v>
      </c>
      <c r="D4" s="1">
        <v>25.0</v>
      </c>
      <c r="E4" s="58"/>
    </row>
    <row r="5">
      <c r="A5" s="1"/>
      <c r="B5" s="9" t="s">
        <v>171</v>
      </c>
      <c r="C5" s="9" t="s">
        <v>314</v>
      </c>
      <c r="D5" s="1" t="s">
        <v>315</v>
      </c>
      <c r="E5" s="58"/>
    </row>
    <row r="6">
      <c r="A6" s="1"/>
      <c r="B6" s="9" t="s">
        <v>174</v>
      </c>
      <c r="C6" s="9" t="s">
        <v>316</v>
      </c>
      <c r="E6" s="58"/>
    </row>
    <row r="7">
      <c r="A7" s="1"/>
      <c r="B7" s="1" t="s">
        <v>187</v>
      </c>
      <c r="C7" s="1" t="s">
        <v>317</v>
      </c>
      <c r="E7" s="58"/>
    </row>
    <row r="8">
      <c r="A8" s="1"/>
      <c r="B8" s="1" t="s">
        <v>318</v>
      </c>
      <c r="C8" s="1" t="s">
        <v>319</v>
      </c>
      <c r="E8" s="58"/>
    </row>
    <row r="9">
      <c r="A9" s="1"/>
      <c r="B9" s="1" t="s">
        <v>320</v>
      </c>
      <c r="C9" s="1" t="s">
        <v>321</v>
      </c>
      <c r="E9" s="58"/>
    </row>
    <row r="10">
      <c r="A10" s="1"/>
      <c r="B10" s="1" t="s">
        <v>183</v>
      </c>
      <c r="C10" s="1" t="s">
        <v>184</v>
      </c>
      <c r="E10" s="58"/>
    </row>
    <row r="11">
      <c r="A11" s="1"/>
      <c r="B11" s="1"/>
      <c r="C11" s="62" t="s">
        <v>177</v>
      </c>
      <c r="D11" s="9">
        <v>1.0</v>
      </c>
      <c r="E11" s="61"/>
    </row>
    <row r="12">
      <c r="A12" s="1"/>
      <c r="B12" s="1" t="s">
        <v>18</v>
      </c>
      <c r="C12" s="1" t="s">
        <v>19</v>
      </c>
      <c r="E12" s="58"/>
    </row>
    <row r="13">
      <c r="A13" s="1"/>
      <c r="B13" s="1" t="s">
        <v>18</v>
      </c>
      <c r="C13" s="1" t="s">
        <v>189</v>
      </c>
      <c r="E13" s="58"/>
    </row>
    <row r="14">
      <c r="A14" s="1" t="s">
        <v>190</v>
      </c>
      <c r="B14" s="1" t="s">
        <v>18</v>
      </c>
      <c r="C14" s="1" t="s">
        <v>23</v>
      </c>
      <c r="E14" s="63">
        <v>84.0</v>
      </c>
    </row>
    <row r="15">
      <c r="A15" s="1"/>
      <c r="B15" s="1" t="s">
        <v>191</v>
      </c>
      <c r="C15" s="1" t="s">
        <v>192</v>
      </c>
      <c r="E15" s="58">
        <f>E14*D4</f>
        <v>2100</v>
      </c>
    </row>
    <row r="16">
      <c r="C16" s="1" t="s">
        <v>193</v>
      </c>
      <c r="E16" s="58">
        <f>E15/1000</f>
        <v>2.1</v>
      </c>
    </row>
    <row r="17">
      <c r="C17" s="1" t="s">
        <v>27</v>
      </c>
      <c r="D17" s="64">
        <v>0.0</v>
      </c>
      <c r="E17" s="61">
        <v>0.0</v>
      </c>
    </row>
    <row r="18">
      <c r="A18" s="1"/>
      <c r="B18" s="1" t="s">
        <v>191</v>
      </c>
      <c r="C18" s="1" t="s">
        <v>196</v>
      </c>
      <c r="D18" s="1">
        <v>17000.0</v>
      </c>
      <c r="E18" s="58"/>
    </row>
    <row r="19">
      <c r="A19" s="1" t="s">
        <v>178</v>
      </c>
      <c r="B19" s="1" t="s">
        <v>18</v>
      </c>
      <c r="C19" s="1" t="s">
        <v>197</v>
      </c>
      <c r="E19" s="63">
        <f>D18/1000</f>
        <v>17</v>
      </c>
    </row>
    <row r="20">
      <c r="A20" s="1"/>
      <c r="B20" s="1" t="s">
        <v>191</v>
      </c>
      <c r="C20" s="1" t="s">
        <v>198</v>
      </c>
      <c r="D20" s="64">
        <v>0.3</v>
      </c>
      <c r="E20" s="58"/>
    </row>
    <row r="21">
      <c r="A21" s="1" t="s">
        <v>199</v>
      </c>
      <c r="C21" s="1" t="s">
        <v>200</v>
      </c>
      <c r="D21" s="65">
        <f>D18*D20</f>
        <v>5100</v>
      </c>
      <c r="E21" s="66">
        <f>D21/1000</f>
        <v>5.1</v>
      </c>
      <c r="G21" s="1"/>
    </row>
    <row r="22">
      <c r="A22" s="1" t="s">
        <v>201</v>
      </c>
      <c r="B22" s="1" t="s">
        <v>202</v>
      </c>
      <c r="C22" s="9" t="s">
        <v>322</v>
      </c>
      <c r="E22" s="66">
        <f>E21+E19</f>
        <v>22.1</v>
      </c>
    </row>
    <row r="23">
      <c r="A23" s="1" t="s">
        <v>204</v>
      </c>
      <c r="B23" s="1" t="s">
        <v>205</v>
      </c>
      <c r="C23" s="1" t="s">
        <v>206</v>
      </c>
      <c r="E23" s="66">
        <f>E22*E14</f>
        <v>1856.4</v>
      </c>
    </row>
    <row r="24">
      <c r="B24" s="9" t="s">
        <v>185</v>
      </c>
      <c r="C24" s="9" t="s">
        <v>323</v>
      </c>
      <c r="D24" s="1"/>
      <c r="E24" s="58"/>
    </row>
    <row r="25">
      <c r="B25" s="1" t="s">
        <v>209</v>
      </c>
      <c r="C25" s="1" t="s">
        <v>210</v>
      </c>
      <c r="D25" s="1">
        <v>7.0</v>
      </c>
      <c r="E25" s="58"/>
    </row>
    <row r="26">
      <c r="B26" s="1" t="s">
        <v>205</v>
      </c>
      <c r="C26" s="1" t="s">
        <v>211</v>
      </c>
      <c r="D26" s="1">
        <v>2.0</v>
      </c>
      <c r="E26" s="58"/>
    </row>
    <row r="27">
      <c r="A27" s="55"/>
      <c r="B27" s="9" t="s">
        <v>205</v>
      </c>
      <c r="C27" s="9" t="s">
        <v>212</v>
      </c>
      <c r="D27" s="55"/>
      <c r="E27" s="66">
        <f>D26*D25</f>
        <v>14</v>
      </c>
    </row>
    <row r="28">
      <c r="C28" s="9" t="s">
        <v>213</v>
      </c>
      <c r="E28" s="66">
        <f>E27+E23</f>
        <v>1870.4</v>
      </c>
    </row>
    <row r="29">
      <c r="A29" s="55"/>
      <c r="B29" s="9" t="s">
        <v>207</v>
      </c>
      <c r="C29" s="9" t="s">
        <v>215</v>
      </c>
      <c r="D29" s="9"/>
      <c r="E29" s="66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>
      <c r="B30" s="9" t="s">
        <v>214</v>
      </c>
      <c r="C30" s="9" t="s">
        <v>217</v>
      </c>
      <c r="D30" s="1"/>
      <c r="E30" s="58"/>
    </row>
    <row r="31">
      <c r="B31" s="1" t="s">
        <v>209</v>
      </c>
      <c r="C31" s="1" t="s">
        <v>218</v>
      </c>
      <c r="D31" s="1">
        <v>12.0</v>
      </c>
      <c r="E31" s="58"/>
    </row>
    <row r="32">
      <c r="C32" s="1" t="s">
        <v>219</v>
      </c>
      <c r="D32" s="1">
        <v>10.0</v>
      </c>
      <c r="E32" s="58"/>
    </row>
    <row r="33">
      <c r="C33" s="1" t="s">
        <v>220</v>
      </c>
      <c r="D33" s="1">
        <v>11.0</v>
      </c>
      <c r="E33" s="58"/>
    </row>
    <row r="34">
      <c r="C34" s="1" t="s">
        <v>221</v>
      </c>
      <c r="D34" s="1">
        <v>9.0</v>
      </c>
      <c r="E34" s="58"/>
    </row>
    <row r="35">
      <c r="C35" s="67" t="s">
        <v>324</v>
      </c>
      <c r="D35" s="67">
        <v>10.0</v>
      </c>
      <c r="E35" s="58"/>
    </row>
    <row r="36">
      <c r="C36" s="1" t="s">
        <v>224</v>
      </c>
      <c r="D36" s="64">
        <v>0.25</v>
      </c>
      <c r="E36" s="66">
        <f>D35+(D35*D36)</f>
        <v>12.5</v>
      </c>
    </row>
    <row r="37">
      <c r="C37" s="9" t="s">
        <v>225</v>
      </c>
      <c r="E37" s="66">
        <f>E36+E28</f>
        <v>1882.9</v>
      </c>
    </row>
    <row r="38">
      <c r="C38" s="1" t="s">
        <v>124</v>
      </c>
      <c r="D38" s="64">
        <v>0.03</v>
      </c>
      <c r="E38" s="66">
        <f>E37*D38</f>
        <v>56.487</v>
      </c>
    </row>
    <row r="39">
      <c r="C39" s="9" t="s">
        <v>226</v>
      </c>
      <c r="D39" s="55"/>
      <c r="E39" s="66">
        <f>E38+E37</f>
        <v>1939.387</v>
      </c>
    </row>
    <row r="40">
      <c r="C40" s="9" t="s">
        <v>227</v>
      </c>
      <c r="E40" s="66">
        <f>E39*D4</f>
        <v>48484.675</v>
      </c>
    </row>
    <row r="41">
      <c r="C41" s="1"/>
      <c r="E41" s="58"/>
    </row>
    <row r="42">
      <c r="C42" s="1" t="s">
        <v>228</v>
      </c>
      <c r="E42" s="58"/>
    </row>
    <row r="43">
      <c r="C43" s="1" t="s">
        <v>229</v>
      </c>
      <c r="E43" s="58"/>
    </row>
    <row r="44">
      <c r="C44" s="1" t="s">
        <v>29</v>
      </c>
      <c r="E44" s="58"/>
    </row>
    <row r="45">
      <c r="E45" s="58"/>
    </row>
    <row r="46">
      <c r="E46" s="58"/>
    </row>
    <row r="47">
      <c r="E47" s="58"/>
    </row>
    <row r="48">
      <c r="E48" s="58"/>
    </row>
    <row r="49">
      <c r="E49" s="58"/>
    </row>
    <row r="50">
      <c r="E50" s="58"/>
    </row>
    <row r="51">
      <c r="E51" s="58"/>
    </row>
    <row r="52">
      <c r="E52" s="58"/>
    </row>
    <row r="53">
      <c r="E53" s="58"/>
    </row>
    <row r="54">
      <c r="E54" s="58"/>
    </row>
    <row r="55">
      <c r="E55" s="58"/>
    </row>
    <row r="56">
      <c r="E56" s="58"/>
    </row>
    <row r="57">
      <c r="E57" s="58"/>
    </row>
    <row r="58">
      <c r="E58" s="58"/>
    </row>
    <row r="59">
      <c r="E59" s="58"/>
    </row>
    <row r="60">
      <c r="E60" s="58"/>
    </row>
    <row r="61">
      <c r="E61" s="58"/>
    </row>
    <row r="62">
      <c r="E62" s="58"/>
    </row>
    <row r="63">
      <c r="E63" s="58"/>
    </row>
    <row r="64">
      <c r="E64" s="58"/>
    </row>
    <row r="65">
      <c r="E65" s="58"/>
    </row>
    <row r="66">
      <c r="E66" s="58"/>
    </row>
    <row r="67">
      <c r="E67" s="58"/>
    </row>
    <row r="68">
      <c r="E68" s="58"/>
    </row>
    <row r="69">
      <c r="E69" s="58"/>
    </row>
    <row r="70">
      <c r="E70" s="58"/>
    </row>
    <row r="71">
      <c r="E71" s="58"/>
    </row>
    <row r="72">
      <c r="E72" s="58"/>
    </row>
    <row r="73">
      <c r="E73" s="58"/>
    </row>
    <row r="74">
      <c r="E74" s="58"/>
    </row>
    <row r="75">
      <c r="E75" s="58"/>
    </row>
    <row r="76">
      <c r="E76" s="58"/>
    </row>
    <row r="77">
      <c r="E77" s="58"/>
    </row>
    <row r="78">
      <c r="E78" s="58"/>
    </row>
    <row r="79">
      <c r="E79" s="58"/>
    </row>
    <row r="80">
      <c r="E80" s="58"/>
    </row>
    <row r="81">
      <c r="E81" s="58"/>
    </row>
    <row r="82">
      <c r="E82" s="58"/>
    </row>
    <row r="83">
      <c r="E83" s="58"/>
    </row>
    <row r="84">
      <c r="E84" s="58"/>
    </row>
    <row r="85">
      <c r="E85" s="58"/>
    </row>
    <row r="86">
      <c r="E86" s="58"/>
    </row>
    <row r="87">
      <c r="E87" s="58"/>
    </row>
    <row r="88">
      <c r="E88" s="58"/>
    </row>
    <row r="89">
      <c r="E89" s="58"/>
    </row>
    <row r="90">
      <c r="E90" s="58"/>
    </row>
    <row r="91">
      <c r="E91" s="58"/>
    </row>
    <row r="92">
      <c r="E92" s="58"/>
    </row>
    <row r="93">
      <c r="E93" s="58"/>
    </row>
    <row r="94">
      <c r="E94" s="58"/>
    </row>
    <row r="95">
      <c r="E95" s="58"/>
    </row>
    <row r="96">
      <c r="E96" s="58"/>
    </row>
    <row r="97">
      <c r="E97" s="58"/>
    </row>
    <row r="98">
      <c r="E98" s="58"/>
    </row>
    <row r="99">
      <c r="E99" s="58"/>
    </row>
    <row r="100">
      <c r="E100" s="58"/>
    </row>
    <row r="101">
      <c r="E101" s="58"/>
    </row>
    <row r="102">
      <c r="E102" s="58"/>
    </row>
    <row r="103">
      <c r="E103" s="58"/>
    </row>
    <row r="104">
      <c r="E104" s="58"/>
    </row>
    <row r="105">
      <c r="E105" s="58"/>
    </row>
    <row r="106">
      <c r="E106" s="58"/>
    </row>
    <row r="107">
      <c r="E107" s="58"/>
    </row>
    <row r="108">
      <c r="E108" s="58"/>
    </row>
    <row r="109">
      <c r="E109" s="58"/>
    </row>
    <row r="110">
      <c r="E110" s="58"/>
    </row>
    <row r="111">
      <c r="E111" s="58"/>
    </row>
    <row r="112">
      <c r="E112" s="58"/>
    </row>
    <row r="113">
      <c r="E113" s="58"/>
    </row>
    <row r="114">
      <c r="E114" s="58"/>
    </row>
    <row r="115">
      <c r="E115" s="58"/>
    </row>
    <row r="116">
      <c r="E116" s="58"/>
    </row>
    <row r="117">
      <c r="E117" s="58"/>
    </row>
    <row r="118">
      <c r="E118" s="58"/>
    </row>
    <row r="119">
      <c r="E119" s="58"/>
    </row>
    <row r="120">
      <c r="E120" s="58"/>
    </row>
    <row r="121">
      <c r="E121" s="58"/>
    </row>
    <row r="122">
      <c r="E122" s="58"/>
    </row>
    <row r="123">
      <c r="E123" s="58"/>
    </row>
    <row r="124">
      <c r="E124" s="58"/>
    </row>
    <row r="125">
      <c r="E125" s="58"/>
    </row>
    <row r="126">
      <c r="E126" s="58"/>
    </row>
    <row r="127">
      <c r="E127" s="58"/>
    </row>
    <row r="128">
      <c r="E128" s="58"/>
    </row>
    <row r="129">
      <c r="E129" s="58"/>
    </row>
    <row r="130">
      <c r="E130" s="58"/>
    </row>
    <row r="131">
      <c r="E131" s="58"/>
    </row>
    <row r="132">
      <c r="E132" s="58"/>
    </row>
    <row r="133">
      <c r="E133" s="58"/>
    </row>
    <row r="134">
      <c r="E134" s="58"/>
    </row>
    <row r="135">
      <c r="E135" s="58"/>
    </row>
    <row r="136">
      <c r="E136" s="58"/>
    </row>
    <row r="137">
      <c r="E137" s="58"/>
    </row>
    <row r="138">
      <c r="E138" s="58"/>
    </row>
    <row r="139">
      <c r="E139" s="58"/>
    </row>
    <row r="140">
      <c r="E140" s="58"/>
    </row>
    <row r="141">
      <c r="E141" s="58"/>
    </row>
    <row r="142">
      <c r="E142" s="58"/>
    </row>
    <row r="143">
      <c r="E143" s="58"/>
    </row>
    <row r="144">
      <c r="E144" s="58"/>
    </row>
    <row r="145">
      <c r="E145" s="58"/>
    </row>
    <row r="146">
      <c r="E146" s="58"/>
    </row>
    <row r="147">
      <c r="E147" s="58"/>
    </row>
    <row r="148">
      <c r="E148" s="58"/>
    </row>
    <row r="149">
      <c r="E149" s="58"/>
    </row>
    <row r="150">
      <c r="E150" s="58"/>
    </row>
    <row r="151">
      <c r="E151" s="58"/>
    </row>
    <row r="152">
      <c r="E152" s="58"/>
    </row>
    <row r="153">
      <c r="E153" s="58"/>
    </row>
    <row r="154">
      <c r="E154" s="58"/>
    </row>
    <row r="155">
      <c r="E155" s="58"/>
    </row>
    <row r="156">
      <c r="E156" s="58"/>
    </row>
    <row r="157">
      <c r="E157" s="58"/>
    </row>
    <row r="158">
      <c r="E158" s="58"/>
    </row>
    <row r="159">
      <c r="E159" s="58"/>
    </row>
    <row r="160">
      <c r="E160" s="58"/>
    </row>
    <row r="161">
      <c r="E161" s="58"/>
    </row>
    <row r="162">
      <c r="E162" s="58"/>
    </row>
    <row r="163">
      <c r="E163" s="58"/>
    </row>
    <row r="164">
      <c r="E164" s="58"/>
    </row>
    <row r="165">
      <c r="E165" s="58"/>
    </row>
    <row r="166">
      <c r="E166" s="58"/>
    </row>
    <row r="167">
      <c r="E167" s="58"/>
    </row>
    <row r="168">
      <c r="E168" s="58"/>
    </row>
    <row r="169">
      <c r="E169" s="58"/>
    </row>
    <row r="170">
      <c r="E170" s="58"/>
    </row>
    <row r="171">
      <c r="E171" s="58"/>
    </row>
    <row r="172">
      <c r="E172" s="58"/>
    </row>
    <row r="173">
      <c r="E173" s="58"/>
    </row>
    <row r="174">
      <c r="E174" s="58"/>
    </row>
    <row r="175">
      <c r="E175" s="58"/>
    </row>
    <row r="176">
      <c r="E176" s="58"/>
    </row>
    <row r="177">
      <c r="E177" s="58"/>
    </row>
    <row r="178">
      <c r="E178" s="58"/>
    </row>
    <row r="179">
      <c r="E179" s="58"/>
    </row>
    <row r="180">
      <c r="E180" s="58"/>
    </row>
    <row r="181">
      <c r="E181" s="58"/>
    </row>
    <row r="182">
      <c r="E182" s="58"/>
    </row>
    <row r="183">
      <c r="E183" s="58"/>
    </row>
    <row r="184">
      <c r="E184" s="58"/>
    </row>
    <row r="185">
      <c r="E185" s="58"/>
    </row>
    <row r="186">
      <c r="E186" s="58"/>
    </row>
    <row r="187">
      <c r="E187" s="58"/>
    </row>
    <row r="188">
      <c r="E188" s="58"/>
    </row>
    <row r="189">
      <c r="E189" s="58"/>
    </row>
    <row r="190">
      <c r="E190" s="58"/>
    </row>
    <row r="191">
      <c r="E191" s="58"/>
    </row>
    <row r="192">
      <c r="E192" s="58"/>
    </row>
    <row r="193">
      <c r="E193" s="58"/>
    </row>
    <row r="194">
      <c r="E194" s="58"/>
    </row>
    <row r="195">
      <c r="E195" s="58"/>
    </row>
    <row r="196">
      <c r="E196" s="58"/>
    </row>
    <row r="197">
      <c r="E197" s="58"/>
    </row>
    <row r="198">
      <c r="E198" s="58"/>
    </row>
    <row r="199">
      <c r="E199" s="58"/>
    </row>
    <row r="200">
      <c r="E200" s="58"/>
    </row>
    <row r="201">
      <c r="E201" s="58"/>
    </row>
    <row r="202">
      <c r="E202" s="58"/>
    </row>
    <row r="203">
      <c r="E203" s="58"/>
    </row>
    <row r="204">
      <c r="E204" s="58"/>
    </row>
    <row r="205">
      <c r="E205" s="58"/>
    </row>
    <row r="206">
      <c r="E206" s="58"/>
    </row>
    <row r="207">
      <c r="E207" s="58"/>
    </row>
    <row r="208">
      <c r="E208" s="58"/>
    </row>
    <row r="209">
      <c r="E209" s="58"/>
    </row>
    <row r="210">
      <c r="E210" s="58"/>
    </row>
    <row r="211">
      <c r="E211" s="58"/>
    </row>
    <row r="212">
      <c r="E212" s="58"/>
    </row>
    <row r="213">
      <c r="E213" s="58"/>
    </row>
    <row r="214">
      <c r="E214" s="58"/>
    </row>
    <row r="215">
      <c r="E215" s="58"/>
    </row>
    <row r="216">
      <c r="E216" s="58"/>
    </row>
    <row r="217">
      <c r="E217" s="58"/>
    </row>
    <row r="218">
      <c r="E218" s="58"/>
    </row>
    <row r="219">
      <c r="E219" s="58"/>
    </row>
    <row r="220">
      <c r="E220" s="58"/>
    </row>
    <row r="221">
      <c r="E221" s="58"/>
    </row>
    <row r="222">
      <c r="E222" s="58"/>
    </row>
    <row r="223">
      <c r="E223" s="58"/>
    </row>
    <row r="224">
      <c r="E224" s="58"/>
    </row>
    <row r="225">
      <c r="E225" s="58"/>
    </row>
    <row r="226">
      <c r="E226" s="58"/>
    </row>
    <row r="227">
      <c r="E227" s="58"/>
    </row>
    <row r="228">
      <c r="E228" s="58"/>
    </row>
    <row r="229">
      <c r="E229" s="58"/>
    </row>
    <row r="230">
      <c r="E230" s="58"/>
    </row>
    <row r="231">
      <c r="E231" s="58"/>
    </row>
    <row r="232">
      <c r="E232" s="58"/>
    </row>
    <row r="233">
      <c r="E233" s="58"/>
    </row>
    <row r="234">
      <c r="E234" s="58"/>
    </row>
    <row r="235">
      <c r="E235" s="58"/>
    </row>
    <row r="236">
      <c r="E236" s="58"/>
    </row>
    <row r="237">
      <c r="E237" s="58"/>
    </row>
    <row r="238">
      <c r="E238" s="58"/>
    </row>
    <row r="239">
      <c r="E239" s="58"/>
    </row>
    <row r="240">
      <c r="E240" s="58"/>
    </row>
    <row r="241">
      <c r="E241" s="58"/>
    </row>
    <row r="242">
      <c r="E242" s="58"/>
    </row>
    <row r="243">
      <c r="E243" s="58"/>
    </row>
    <row r="244">
      <c r="E244" s="58"/>
    </row>
    <row r="245">
      <c r="E245" s="58"/>
    </row>
    <row r="246">
      <c r="E246" s="58"/>
    </row>
    <row r="247">
      <c r="E247" s="58"/>
    </row>
    <row r="248">
      <c r="E248" s="58"/>
    </row>
    <row r="249">
      <c r="E249" s="58"/>
    </row>
    <row r="250">
      <c r="E250" s="58"/>
    </row>
    <row r="251">
      <c r="E251" s="58"/>
    </row>
    <row r="252">
      <c r="E252" s="58"/>
    </row>
    <row r="253">
      <c r="E253" s="58"/>
    </row>
    <row r="254">
      <c r="E254" s="58"/>
    </row>
    <row r="255">
      <c r="E255" s="58"/>
    </row>
    <row r="256">
      <c r="E256" s="58"/>
    </row>
    <row r="257">
      <c r="E257" s="58"/>
    </row>
    <row r="258">
      <c r="E258" s="58"/>
    </row>
    <row r="259">
      <c r="E259" s="58"/>
    </row>
    <row r="260">
      <c r="E260" s="58"/>
    </row>
    <row r="261">
      <c r="E261" s="58"/>
    </row>
    <row r="262">
      <c r="E262" s="58"/>
    </row>
    <row r="263">
      <c r="E263" s="58"/>
    </row>
    <row r="264">
      <c r="E264" s="58"/>
    </row>
    <row r="265">
      <c r="E265" s="58"/>
    </row>
    <row r="266">
      <c r="E266" s="58"/>
    </row>
    <row r="267">
      <c r="E267" s="58"/>
    </row>
    <row r="268">
      <c r="E268" s="58"/>
    </row>
    <row r="269">
      <c r="E269" s="58"/>
    </row>
    <row r="270">
      <c r="E270" s="58"/>
    </row>
    <row r="271">
      <c r="E271" s="58"/>
    </row>
    <row r="272">
      <c r="E272" s="58"/>
    </row>
    <row r="273">
      <c r="E273" s="58"/>
    </row>
    <row r="274">
      <c r="E274" s="58"/>
    </row>
    <row r="275">
      <c r="E275" s="58"/>
    </row>
    <row r="276">
      <c r="E276" s="58"/>
    </row>
    <row r="277">
      <c r="E277" s="58"/>
    </row>
    <row r="278">
      <c r="E278" s="58"/>
    </row>
    <row r="279">
      <c r="E279" s="58"/>
    </row>
    <row r="280">
      <c r="E280" s="58"/>
    </row>
    <row r="281">
      <c r="E281" s="58"/>
    </row>
    <row r="282">
      <c r="E282" s="58"/>
    </row>
    <row r="283">
      <c r="E283" s="58"/>
    </row>
    <row r="284">
      <c r="E284" s="58"/>
    </row>
    <row r="285">
      <c r="E285" s="58"/>
    </row>
    <row r="286">
      <c r="E286" s="58"/>
    </row>
    <row r="287">
      <c r="E287" s="58"/>
    </row>
    <row r="288">
      <c r="E288" s="58"/>
    </row>
    <row r="289">
      <c r="E289" s="58"/>
    </row>
    <row r="290">
      <c r="E290" s="58"/>
    </row>
    <row r="291">
      <c r="E291" s="58"/>
    </row>
    <row r="292">
      <c r="E292" s="58"/>
    </row>
    <row r="293">
      <c r="E293" s="58"/>
    </row>
    <row r="294">
      <c r="E294" s="58"/>
    </row>
    <row r="295">
      <c r="E295" s="58"/>
    </row>
    <row r="296">
      <c r="E296" s="58"/>
    </row>
    <row r="297">
      <c r="E297" s="58"/>
    </row>
    <row r="298">
      <c r="E298" s="58"/>
    </row>
    <row r="299">
      <c r="E299" s="58"/>
    </row>
    <row r="300">
      <c r="E300" s="58"/>
    </row>
    <row r="301">
      <c r="E301" s="58"/>
    </row>
    <row r="302">
      <c r="E302" s="58"/>
    </row>
    <row r="303">
      <c r="E303" s="58"/>
    </row>
    <row r="304">
      <c r="E304" s="58"/>
    </row>
    <row r="305">
      <c r="E305" s="58"/>
    </row>
    <row r="306">
      <c r="E306" s="58"/>
    </row>
    <row r="307">
      <c r="E307" s="58"/>
    </row>
    <row r="308">
      <c r="E308" s="58"/>
    </row>
    <row r="309">
      <c r="E309" s="58"/>
    </row>
    <row r="310">
      <c r="E310" s="58"/>
    </row>
    <row r="311">
      <c r="E311" s="58"/>
    </row>
    <row r="312">
      <c r="E312" s="58"/>
    </row>
    <row r="313">
      <c r="E313" s="58"/>
    </row>
    <row r="314">
      <c r="E314" s="58"/>
    </row>
    <row r="315">
      <c r="E315" s="58"/>
    </row>
    <row r="316">
      <c r="E316" s="58"/>
    </row>
    <row r="317">
      <c r="E317" s="58"/>
    </row>
    <row r="318">
      <c r="E318" s="58"/>
    </row>
    <row r="319">
      <c r="E319" s="58"/>
    </row>
    <row r="320">
      <c r="E320" s="58"/>
    </row>
    <row r="321">
      <c r="E321" s="58"/>
    </row>
    <row r="322">
      <c r="E322" s="58"/>
    </row>
    <row r="323">
      <c r="E323" s="58"/>
    </row>
    <row r="324">
      <c r="E324" s="58"/>
    </row>
    <row r="325">
      <c r="E325" s="58"/>
    </row>
    <row r="326">
      <c r="E326" s="58"/>
    </row>
    <row r="327">
      <c r="E327" s="58"/>
    </row>
    <row r="328">
      <c r="E328" s="58"/>
    </row>
    <row r="329">
      <c r="E329" s="58"/>
    </row>
    <row r="330">
      <c r="E330" s="58"/>
    </row>
    <row r="331">
      <c r="E331" s="58"/>
    </row>
    <row r="332">
      <c r="E332" s="58"/>
    </row>
    <row r="333">
      <c r="E333" s="58"/>
    </row>
    <row r="334">
      <c r="E334" s="58"/>
    </row>
    <row r="335">
      <c r="E335" s="58"/>
    </row>
    <row r="336">
      <c r="E336" s="58"/>
    </row>
    <row r="337">
      <c r="E337" s="58"/>
    </row>
    <row r="338">
      <c r="E338" s="58"/>
    </row>
    <row r="339">
      <c r="E339" s="58"/>
    </row>
    <row r="340">
      <c r="E340" s="58"/>
    </row>
    <row r="341">
      <c r="E341" s="58"/>
    </row>
    <row r="342">
      <c r="E342" s="58"/>
    </row>
    <row r="343">
      <c r="E343" s="58"/>
    </row>
    <row r="344">
      <c r="E344" s="58"/>
    </row>
    <row r="345">
      <c r="E345" s="58"/>
    </row>
    <row r="346">
      <c r="E346" s="58"/>
    </row>
    <row r="347">
      <c r="E347" s="58"/>
    </row>
    <row r="348">
      <c r="E348" s="58"/>
    </row>
    <row r="349">
      <c r="E349" s="58"/>
    </row>
    <row r="350">
      <c r="E350" s="58"/>
    </row>
    <row r="351">
      <c r="E351" s="58"/>
    </row>
    <row r="352">
      <c r="E352" s="58"/>
    </row>
    <row r="353">
      <c r="E353" s="58"/>
    </row>
    <row r="354">
      <c r="E354" s="58"/>
    </row>
    <row r="355">
      <c r="E355" s="58"/>
    </row>
    <row r="356">
      <c r="E356" s="58"/>
    </row>
    <row r="357">
      <c r="E357" s="58"/>
    </row>
    <row r="358">
      <c r="E358" s="58"/>
    </row>
    <row r="359">
      <c r="E359" s="58"/>
    </row>
    <row r="360">
      <c r="E360" s="58"/>
    </row>
    <row r="361">
      <c r="E361" s="58"/>
    </row>
    <row r="362">
      <c r="E362" s="58"/>
    </row>
    <row r="363">
      <c r="E363" s="58"/>
    </row>
    <row r="364">
      <c r="E364" s="58"/>
    </row>
    <row r="365">
      <c r="E365" s="58"/>
    </row>
    <row r="366">
      <c r="E366" s="58"/>
    </row>
    <row r="367">
      <c r="E367" s="58"/>
    </row>
    <row r="368">
      <c r="E368" s="58"/>
    </row>
    <row r="369">
      <c r="E369" s="58"/>
    </row>
    <row r="370">
      <c r="E370" s="58"/>
    </row>
    <row r="371">
      <c r="E371" s="58"/>
    </row>
    <row r="372">
      <c r="E372" s="58"/>
    </row>
    <row r="373">
      <c r="E373" s="58"/>
    </row>
    <row r="374">
      <c r="E374" s="58"/>
    </row>
    <row r="375">
      <c r="E375" s="58"/>
    </row>
    <row r="376">
      <c r="E376" s="58"/>
    </row>
    <row r="377">
      <c r="E377" s="58"/>
    </row>
    <row r="378">
      <c r="E378" s="58"/>
    </row>
    <row r="379">
      <c r="E379" s="58"/>
    </row>
    <row r="380">
      <c r="E380" s="58"/>
    </row>
    <row r="381">
      <c r="E381" s="58"/>
    </row>
    <row r="382">
      <c r="E382" s="58"/>
    </row>
    <row r="383">
      <c r="E383" s="58"/>
    </row>
    <row r="384">
      <c r="E384" s="58"/>
    </row>
    <row r="385">
      <c r="E385" s="58"/>
    </row>
    <row r="386">
      <c r="E386" s="58"/>
    </row>
    <row r="387">
      <c r="E387" s="58"/>
    </row>
    <row r="388">
      <c r="E388" s="58"/>
    </row>
    <row r="389">
      <c r="E389" s="58"/>
    </row>
    <row r="390">
      <c r="E390" s="58"/>
    </row>
    <row r="391">
      <c r="E391" s="58"/>
    </row>
    <row r="392">
      <c r="E392" s="58"/>
    </row>
    <row r="393">
      <c r="E393" s="58"/>
    </row>
    <row r="394">
      <c r="E394" s="58"/>
    </row>
    <row r="395">
      <c r="E395" s="58"/>
    </row>
    <row r="396">
      <c r="E396" s="58"/>
    </row>
    <row r="397">
      <c r="E397" s="58"/>
    </row>
    <row r="398">
      <c r="E398" s="58"/>
    </row>
    <row r="399">
      <c r="E399" s="58"/>
    </row>
    <row r="400">
      <c r="E400" s="58"/>
    </row>
    <row r="401">
      <c r="E401" s="58"/>
    </row>
    <row r="402">
      <c r="E402" s="58"/>
    </row>
    <row r="403">
      <c r="E403" s="58"/>
    </row>
    <row r="404">
      <c r="E404" s="58"/>
    </row>
    <row r="405">
      <c r="E405" s="58"/>
    </row>
    <row r="406">
      <c r="E406" s="58"/>
    </row>
    <row r="407">
      <c r="E407" s="58"/>
    </row>
    <row r="408">
      <c r="E408" s="58"/>
    </row>
    <row r="409">
      <c r="E409" s="58"/>
    </row>
    <row r="410">
      <c r="E410" s="58"/>
    </row>
    <row r="411">
      <c r="E411" s="58"/>
    </row>
    <row r="412">
      <c r="E412" s="58"/>
    </row>
    <row r="413">
      <c r="E413" s="58"/>
    </row>
    <row r="414">
      <c r="E414" s="58"/>
    </row>
    <row r="415">
      <c r="E415" s="58"/>
    </row>
    <row r="416">
      <c r="E416" s="58"/>
    </row>
    <row r="417">
      <c r="E417" s="58"/>
    </row>
    <row r="418">
      <c r="E418" s="58"/>
    </row>
    <row r="419">
      <c r="E419" s="58"/>
    </row>
    <row r="420">
      <c r="E420" s="58"/>
    </row>
    <row r="421">
      <c r="E421" s="58"/>
    </row>
    <row r="422">
      <c r="E422" s="58"/>
    </row>
    <row r="423">
      <c r="E423" s="58"/>
    </row>
    <row r="424">
      <c r="E424" s="58"/>
    </row>
    <row r="425">
      <c r="E425" s="58"/>
    </row>
    <row r="426">
      <c r="E426" s="58"/>
    </row>
    <row r="427">
      <c r="E427" s="58"/>
    </row>
    <row r="428">
      <c r="E428" s="58"/>
    </row>
    <row r="429">
      <c r="E429" s="58"/>
    </row>
    <row r="430">
      <c r="E430" s="58"/>
    </row>
    <row r="431">
      <c r="E431" s="58"/>
    </row>
    <row r="432">
      <c r="E432" s="58"/>
    </row>
    <row r="433">
      <c r="E433" s="58"/>
    </row>
    <row r="434">
      <c r="E434" s="58"/>
    </row>
    <row r="435">
      <c r="E435" s="58"/>
    </row>
    <row r="436">
      <c r="E436" s="58"/>
    </row>
    <row r="437">
      <c r="E437" s="58"/>
    </row>
    <row r="438">
      <c r="E438" s="58"/>
    </row>
    <row r="439">
      <c r="E439" s="58"/>
    </row>
    <row r="440">
      <c r="E440" s="58"/>
    </row>
    <row r="441">
      <c r="E441" s="58"/>
    </row>
    <row r="442">
      <c r="E442" s="58"/>
    </row>
    <row r="443">
      <c r="E443" s="58"/>
    </row>
    <row r="444">
      <c r="E444" s="58"/>
    </row>
    <row r="445">
      <c r="E445" s="58"/>
    </row>
    <row r="446">
      <c r="E446" s="58"/>
    </row>
    <row r="447">
      <c r="E447" s="58"/>
    </row>
    <row r="448">
      <c r="E448" s="58"/>
    </row>
    <row r="449">
      <c r="E449" s="58"/>
    </row>
    <row r="450">
      <c r="E450" s="58"/>
    </row>
    <row r="451">
      <c r="E451" s="58"/>
    </row>
    <row r="452">
      <c r="E452" s="58"/>
    </row>
    <row r="453">
      <c r="E453" s="58"/>
    </row>
    <row r="454">
      <c r="E454" s="58"/>
    </row>
    <row r="455">
      <c r="E455" s="58"/>
    </row>
    <row r="456">
      <c r="E456" s="58"/>
    </row>
    <row r="457">
      <c r="E457" s="58"/>
    </row>
    <row r="458">
      <c r="E458" s="58"/>
    </row>
    <row r="459">
      <c r="E459" s="58"/>
    </row>
    <row r="460">
      <c r="E460" s="58"/>
    </row>
    <row r="461">
      <c r="E461" s="58"/>
    </row>
    <row r="462">
      <c r="E462" s="58"/>
    </row>
    <row r="463">
      <c r="E463" s="58"/>
    </row>
    <row r="464">
      <c r="E464" s="58"/>
    </row>
    <row r="465">
      <c r="E465" s="58"/>
    </row>
    <row r="466">
      <c r="E466" s="58"/>
    </row>
    <row r="467">
      <c r="E467" s="58"/>
    </row>
    <row r="468">
      <c r="E468" s="58"/>
    </row>
    <row r="469">
      <c r="E469" s="58"/>
    </row>
    <row r="470">
      <c r="E470" s="58"/>
    </row>
    <row r="471">
      <c r="E471" s="58"/>
    </row>
    <row r="472">
      <c r="E472" s="58"/>
    </row>
    <row r="473">
      <c r="E473" s="58"/>
    </row>
    <row r="474">
      <c r="E474" s="58"/>
    </row>
    <row r="475">
      <c r="E475" s="58"/>
    </row>
    <row r="476">
      <c r="E476" s="58"/>
    </row>
    <row r="477">
      <c r="E477" s="58"/>
    </row>
    <row r="478">
      <c r="E478" s="58"/>
    </row>
    <row r="479">
      <c r="E479" s="58"/>
    </row>
    <row r="480">
      <c r="E480" s="58"/>
    </row>
    <row r="481">
      <c r="E481" s="58"/>
    </row>
    <row r="482">
      <c r="E482" s="58"/>
    </row>
    <row r="483">
      <c r="E483" s="58"/>
    </row>
    <row r="484">
      <c r="E484" s="58"/>
    </row>
    <row r="485">
      <c r="E485" s="58"/>
    </row>
    <row r="486">
      <c r="E486" s="58"/>
    </row>
    <row r="487">
      <c r="E487" s="58"/>
    </row>
    <row r="488">
      <c r="E488" s="58"/>
    </row>
    <row r="489">
      <c r="E489" s="58"/>
    </row>
    <row r="490">
      <c r="E490" s="58"/>
    </row>
    <row r="491">
      <c r="E491" s="58"/>
    </row>
    <row r="492">
      <c r="E492" s="58"/>
    </row>
    <row r="493">
      <c r="E493" s="58"/>
    </row>
    <row r="494">
      <c r="E494" s="58"/>
    </row>
    <row r="495">
      <c r="E495" s="58"/>
    </row>
    <row r="496">
      <c r="E496" s="58"/>
    </row>
    <row r="497">
      <c r="E497" s="58"/>
    </row>
    <row r="498">
      <c r="E498" s="58"/>
    </row>
    <row r="499">
      <c r="E499" s="58"/>
    </row>
    <row r="500">
      <c r="E500" s="58"/>
    </row>
    <row r="501">
      <c r="E501" s="58"/>
    </row>
    <row r="502">
      <c r="E502" s="58"/>
    </row>
    <row r="503">
      <c r="E503" s="58"/>
    </row>
    <row r="504">
      <c r="E504" s="58"/>
    </row>
    <row r="505">
      <c r="E505" s="58"/>
    </row>
    <row r="506">
      <c r="E506" s="58"/>
    </row>
    <row r="507">
      <c r="E507" s="58"/>
    </row>
    <row r="508">
      <c r="E508" s="58"/>
    </row>
    <row r="509">
      <c r="E509" s="58"/>
    </row>
    <row r="510">
      <c r="E510" s="58"/>
    </row>
    <row r="511">
      <c r="E511" s="58"/>
    </row>
    <row r="512">
      <c r="E512" s="58"/>
    </row>
    <row r="513">
      <c r="E513" s="58"/>
    </row>
    <row r="514">
      <c r="E514" s="58"/>
    </row>
    <row r="515">
      <c r="E515" s="58"/>
    </row>
    <row r="516">
      <c r="E516" s="58"/>
    </row>
    <row r="517">
      <c r="E517" s="58"/>
    </row>
    <row r="518">
      <c r="E518" s="58"/>
    </row>
    <row r="519">
      <c r="E519" s="58"/>
    </row>
    <row r="520">
      <c r="E520" s="58"/>
    </row>
    <row r="521">
      <c r="E521" s="58"/>
    </row>
    <row r="522">
      <c r="E522" s="58"/>
    </row>
    <row r="523">
      <c r="E523" s="58"/>
    </row>
    <row r="524">
      <c r="E524" s="58"/>
    </row>
    <row r="525">
      <c r="E525" s="58"/>
    </row>
    <row r="526">
      <c r="E526" s="58"/>
    </row>
    <row r="527">
      <c r="E527" s="58"/>
    </row>
    <row r="528">
      <c r="E528" s="58"/>
    </row>
    <row r="529">
      <c r="E529" s="58"/>
    </row>
    <row r="530">
      <c r="E530" s="58"/>
    </row>
    <row r="531">
      <c r="E531" s="58"/>
    </row>
    <row r="532">
      <c r="E532" s="58"/>
    </row>
    <row r="533">
      <c r="E533" s="58"/>
    </row>
    <row r="534">
      <c r="E534" s="58"/>
    </row>
    <row r="535">
      <c r="E535" s="58"/>
    </row>
    <row r="536">
      <c r="E536" s="58"/>
    </row>
    <row r="537">
      <c r="E537" s="58"/>
    </row>
    <row r="538">
      <c r="E538" s="58"/>
    </row>
    <row r="539">
      <c r="E539" s="58"/>
    </row>
    <row r="540">
      <c r="E540" s="58"/>
    </row>
    <row r="541">
      <c r="E541" s="58"/>
    </row>
    <row r="542">
      <c r="E542" s="58"/>
    </row>
    <row r="543">
      <c r="E543" s="58"/>
    </row>
    <row r="544">
      <c r="E544" s="58"/>
    </row>
    <row r="545">
      <c r="E545" s="58"/>
    </row>
    <row r="546">
      <c r="E546" s="58"/>
    </row>
    <row r="547">
      <c r="E547" s="58"/>
    </row>
    <row r="548">
      <c r="E548" s="58"/>
    </row>
    <row r="549">
      <c r="E549" s="58"/>
    </row>
    <row r="550">
      <c r="E550" s="58"/>
    </row>
    <row r="551">
      <c r="E551" s="58"/>
    </row>
    <row r="552">
      <c r="E552" s="58"/>
    </row>
    <row r="553">
      <c r="E553" s="58"/>
    </row>
    <row r="554">
      <c r="E554" s="58"/>
    </row>
    <row r="555">
      <c r="E555" s="58"/>
    </row>
    <row r="556">
      <c r="E556" s="58"/>
    </row>
    <row r="557">
      <c r="E557" s="58"/>
    </row>
    <row r="558">
      <c r="E558" s="58"/>
    </row>
    <row r="559">
      <c r="E559" s="58"/>
    </row>
    <row r="560">
      <c r="E560" s="58"/>
    </row>
    <row r="561">
      <c r="E561" s="58"/>
    </row>
    <row r="562">
      <c r="E562" s="58"/>
    </row>
    <row r="563">
      <c r="E563" s="58"/>
    </row>
    <row r="564">
      <c r="E564" s="58"/>
    </row>
    <row r="565">
      <c r="E565" s="58"/>
    </row>
    <row r="566">
      <c r="E566" s="58"/>
    </row>
    <row r="567">
      <c r="E567" s="58"/>
    </row>
    <row r="568">
      <c r="E568" s="58"/>
    </row>
    <row r="569">
      <c r="E569" s="58"/>
    </row>
    <row r="570">
      <c r="E570" s="58"/>
    </row>
    <row r="571">
      <c r="E571" s="58"/>
    </row>
    <row r="572">
      <c r="E572" s="58"/>
    </row>
    <row r="573">
      <c r="E573" s="58"/>
    </row>
    <row r="574">
      <c r="E574" s="58"/>
    </row>
    <row r="575">
      <c r="E575" s="58"/>
    </row>
    <row r="576">
      <c r="E576" s="58"/>
    </row>
    <row r="577">
      <c r="E577" s="58"/>
    </row>
    <row r="578">
      <c r="E578" s="58"/>
    </row>
    <row r="579">
      <c r="E579" s="58"/>
    </row>
    <row r="580">
      <c r="E580" s="58"/>
    </row>
    <row r="581">
      <c r="E581" s="58"/>
    </row>
    <row r="582">
      <c r="E582" s="58"/>
    </row>
    <row r="583">
      <c r="E583" s="58"/>
    </row>
    <row r="584">
      <c r="E584" s="58"/>
    </row>
    <row r="585">
      <c r="E585" s="58"/>
    </row>
    <row r="586">
      <c r="E586" s="58"/>
    </row>
    <row r="587">
      <c r="E587" s="58"/>
    </row>
    <row r="588">
      <c r="E588" s="58"/>
    </row>
    <row r="589">
      <c r="E589" s="58"/>
    </row>
    <row r="590">
      <c r="E590" s="58"/>
    </row>
    <row r="591">
      <c r="E591" s="58"/>
    </row>
    <row r="592">
      <c r="E592" s="58"/>
    </row>
    <row r="593">
      <c r="E593" s="58"/>
    </row>
    <row r="594">
      <c r="E594" s="58"/>
    </row>
    <row r="595">
      <c r="E595" s="58"/>
    </row>
    <row r="596">
      <c r="E596" s="58"/>
    </row>
    <row r="597">
      <c r="E597" s="58"/>
    </row>
    <row r="598">
      <c r="E598" s="58"/>
    </row>
    <row r="599">
      <c r="E599" s="58"/>
    </row>
    <row r="600">
      <c r="E600" s="58"/>
    </row>
    <row r="601">
      <c r="E601" s="58"/>
    </row>
    <row r="602">
      <c r="E602" s="58"/>
    </row>
    <row r="603">
      <c r="E603" s="58"/>
    </row>
    <row r="604">
      <c r="E604" s="58"/>
    </row>
    <row r="605">
      <c r="E605" s="58"/>
    </row>
    <row r="606">
      <c r="E606" s="58"/>
    </row>
    <row r="607">
      <c r="E607" s="58"/>
    </row>
    <row r="608">
      <c r="E608" s="58"/>
    </row>
    <row r="609">
      <c r="E609" s="58"/>
    </row>
    <row r="610">
      <c r="E610" s="58"/>
    </row>
    <row r="611">
      <c r="E611" s="58"/>
    </row>
    <row r="612">
      <c r="E612" s="58"/>
    </row>
    <row r="613">
      <c r="E613" s="58"/>
    </row>
    <row r="614">
      <c r="E614" s="58"/>
    </row>
    <row r="615">
      <c r="E615" s="58"/>
    </row>
    <row r="616">
      <c r="E616" s="58"/>
    </row>
    <row r="617">
      <c r="E617" s="58"/>
    </row>
    <row r="618">
      <c r="E618" s="58"/>
    </row>
    <row r="619">
      <c r="E619" s="58"/>
    </row>
    <row r="620">
      <c r="E620" s="58"/>
    </row>
    <row r="621">
      <c r="E621" s="58"/>
    </row>
    <row r="622">
      <c r="E622" s="58"/>
    </row>
    <row r="623">
      <c r="E623" s="58"/>
    </row>
    <row r="624">
      <c r="E624" s="58"/>
    </row>
    <row r="625">
      <c r="E625" s="58"/>
    </row>
    <row r="626">
      <c r="E626" s="58"/>
    </row>
    <row r="627">
      <c r="E627" s="58"/>
    </row>
    <row r="628">
      <c r="E628" s="58"/>
    </row>
    <row r="629">
      <c r="E629" s="58"/>
    </row>
    <row r="630">
      <c r="E630" s="58"/>
    </row>
    <row r="631">
      <c r="E631" s="58"/>
    </row>
    <row r="632">
      <c r="E632" s="58"/>
    </row>
    <row r="633">
      <c r="E633" s="58"/>
    </row>
    <row r="634">
      <c r="E634" s="58"/>
    </row>
    <row r="635">
      <c r="E635" s="58"/>
    </row>
    <row r="636">
      <c r="E636" s="58"/>
    </row>
    <row r="637">
      <c r="E637" s="58"/>
    </row>
    <row r="638">
      <c r="E638" s="58"/>
    </row>
    <row r="639">
      <c r="E639" s="58"/>
    </row>
    <row r="640">
      <c r="E640" s="58"/>
    </row>
    <row r="641">
      <c r="E641" s="58"/>
    </row>
    <row r="642">
      <c r="E642" s="58"/>
    </row>
    <row r="643">
      <c r="E643" s="58"/>
    </row>
    <row r="644">
      <c r="E644" s="58"/>
    </row>
    <row r="645">
      <c r="E645" s="58"/>
    </row>
    <row r="646">
      <c r="E646" s="58"/>
    </row>
    <row r="647">
      <c r="E647" s="58"/>
    </row>
    <row r="648">
      <c r="E648" s="58"/>
    </row>
    <row r="649">
      <c r="E649" s="58"/>
    </row>
    <row r="650">
      <c r="E650" s="58"/>
    </row>
    <row r="651">
      <c r="E651" s="58"/>
    </row>
    <row r="652">
      <c r="E652" s="58"/>
    </row>
    <row r="653">
      <c r="E653" s="58"/>
    </row>
    <row r="654">
      <c r="E654" s="58"/>
    </row>
    <row r="655">
      <c r="E655" s="58"/>
    </row>
    <row r="656">
      <c r="E656" s="58"/>
    </row>
    <row r="657">
      <c r="E657" s="58"/>
    </row>
    <row r="658">
      <c r="E658" s="58"/>
    </row>
    <row r="659">
      <c r="E659" s="58"/>
    </row>
    <row r="660">
      <c r="E660" s="58"/>
    </row>
    <row r="661">
      <c r="E661" s="58"/>
    </row>
    <row r="662">
      <c r="E662" s="58"/>
    </row>
    <row r="663">
      <c r="E663" s="58"/>
    </row>
    <row r="664">
      <c r="E664" s="58"/>
    </row>
    <row r="665">
      <c r="E665" s="58"/>
    </row>
    <row r="666">
      <c r="E666" s="58"/>
    </row>
    <row r="667">
      <c r="E667" s="58"/>
    </row>
    <row r="668">
      <c r="E668" s="58"/>
    </row>
    <row r="669">
      <c r="E669" s="58"/>
    </row>
    <row r="670">
      <c r="E670" s="58"/>
    </row>
    <row r="671">
      <c r="E671" s="58"/>
    </row>
    <row r="672">
      <c r="E672" s="58"/>
    </row>
    <row r="673">
      <c r="E673" s="58"/>
    </row>
    <row r="674">
      <c r="E674" s="58"/>
    </row>
    <row r="675">
      <c r="E675" s="58"/>
    </row>
    <row r="676">
      <c r="E676" s="58"/>
    </row>
    <row r="677">
      <c r="E677" s="58"/>
    </row>
    <row r="678">
      <c r="E678" s="58"/>
    </row>
    <row r="679">
      <c r="E679" s="58"/>
    </row>
    <row r="680">
      <c r="E680" s="58"/>
    </row>
    <row r="681">
      <c r="E681" s="58"/>
    </row>
    <row r="682">
      <c r="E682" s="58"/>
    </row>
    <row r="683">
      <c r="E683" s="58"/>
    </row>
    <row r="684">
      <c r="E684" s="58"/>
    </row>
    <row r="685">
      <c r="E685" s="58"/>
    </row>
    <row r="686">
      <c r="E686" s="58"/>
    </row>
    <row r="687">
      <c r="E687" s="58"/>
    </row>
    <row r="688">
      <c r="E688" s="58"/>
    </row>
    <row r="689">
      <c r="E689" s="58"/>
    </row>
    <row r="690">
      <c r="E690" s="58"/>
    </row>
    <row r="691">
      <c r="E691" s="58"/>
    </row>
    <row r="692">
      <c r="E692" s="58"/>
    </row>
    <row r="693">
      <c r="E693" s="58"/>
    </row>
    <row r="694">
      <c r="E694" s="58"/>
    </row>
    <row r="695">
      <c r="E695" s="58"/>
    </row>
    <row r="696">
      <c r="E696" s="58"/>
    </row>
    <row r="697">
      <c r="E697" s="58"/>
    </row>
    <row r="698">
      <c r="E698" s="58"/>
    </row>
    <row r="699">
      <c r="E699" s="58"/>
    </row>
    <row r="700">
      <c r="E700" s="58"/>
    </row>
    <row r="701">
      <c r="E701" s="58"/>
    </row>
    <row r="702">
      <c r="E702" s="58"/>
    </row>
    <row r="703">
      <c r="E703" s="58"/>
    </row>
    <row r="704">
      <c r="E704" s="58"/>
    </row>
    <row r="705">
      <c r="E705" s="58"/>
    </row>
    <row r="706">
      <c r="E706" s="58"/>
    </row>
    <row r="707">
      <c r="E707" s="58"/>
    </row>
    <row r="708">
      <c r="E708" s="58"/>
    </row>
    <row r="709">
      <c r="E709" s="58"/>
    </row>
    <row r="710">
      <c r="E710" s="58"/>
    </row>
    <row r="711">
      <c r="E711" s="58"/>
    </row>
    <row r="712">
      <c r="E712" s="58"/>
    </row>
    <row r="713">
      <c r="E713" s="58"/>
    </row>
    <row r="714">
      <c r="E714" s="58"/>
    </row>
    <row r="715">
      <c r="E715" s="58"/>
    </row>
    <row r="716">
      <c r="E716" s="58"/>
    </row>
    <row r="717">
      <c r="E717" s="58"/>
    </row>
    <row r="718">
      <c r="E718" s="58"/>
    </row>
    <row r="719">
      <c r="E719" s="58"/>
    </row>
    <row r="720">
      <c r="E720" s="58"/>
    </row>
    <row r="721">
      <c r="E721" s="58"/>
    </row>
    <row r="722">
      <c r="E722" s="58"/>
    </row>
    <row r="723">
      <c r="E723" s="58"/>
    </row>
    <row r="724">
      <c r="E724" s="58"/>
    </row>
    <row r="725">
      <c r="E725" s="58"/>
    </row>
    <row r="726">
      <c r="E726" s="58"/>
    </row>
    <row r="727">
      <c r="E727" s="58"/>
    </row>
    <row r="728">
      <c r="E728" s="58"/>
    </row>
    <row r="729">
      <c r="E729" s="58"/>
    </row>
    <row r="730">
      <c r="E730" s="58"/>
    </row>
    <row r="731">
      <c r="E731" s="58"/>
    </row>
    <row r="732">
      <c r="E732" s="58"/>
    </row>
    <row r="733">
      <c r="E733" s="58"/>
    </row>
    <row r="734">
      <c r="E734" s="58"/>
    </row>
    <row r="735">
      <c r="E735" s="58"/>
    </row>
    <row r="736">
      <c r="E736" s="58"/>
    </row>
    <row r="737">
      <c r="E737" s="58"/>
    </row>
    <row r="738">
      <c r="E738" s="58"/>
    </row>
    <row r="739">
      <c r="E739" s="58"/>
    </row>
    <row r="740">
      <c r="E740" s="58"/>
    </row>
    <row r="741">
      <c r="E741" s="58"/>
    </row>
    <row r="742">
      <c r="E742" s="58"/>
    </row>
    <row r="743">
      <c r="E743" s="58"/>
    </row>
    <row r="744">
      <c r="E744" s="58"/>
    </row>
    <row r="745">
      <c r="E745" s="58"/>
    </row>
    <row r="746">
      <c r="E746" s="58"/>
    </row>
    <row r="747">
      <c r="E747" s="58"/>
    </row>
    <row r="748">
      <c r="E748" s="58"/>
    </row>
    <row r="749">
      <c r="E749" s="58"/>
    </row>
    <row r="750">
      <c r="E750" s="58"/>
    </row>
    <row r="751">
      <c r="E751" s="58"/>
    </row>
    <row r="752">
      <c r="E752" s="58"/>
    </row>
    <row r="753">
      <c r="E753" s="58"/>
    </row>
    <row r="754">
      <c r="E754" s="58"/>
    </row>
    <row r="755">
      <c r="E755" s="58"/>
    </row>
    <row r="756">
      <c r="E756" s="58"/>
    </row>
    <row r="757">
      <c r="E757" s="58"/>
    </row>
    <row r="758">
      <c r="E758" s="58"/>
    </row>
    <row r="759">
      <c r="E759" s="58"/>
    </row>
    <row r="760">
      <c r="E760" s="58"/>
    </row>
    <row r="761">
      <c r="E761" s="58"/>
    </row>
    <row r="762">
      <c r="E762" s="58"/>
    </row>
    <row r="763">
      <c r="E763" s="58"/>
    </row>
    <row r="764">
      <c r="E764" s="58"/>
    </row>
    <row r="765">
      <c r="E765" s="58"/>
    </row>
    <row r="766">
      <c r="E766" s="58"/>
    </row>
    <row r="767">
      <c r="E767" s="58"/>
    </row>
    <row r="768">
      <c r="E768" s="58"/>
    </row>
    <row r="769">
      <c r="E769" s="58"/>
    </row>
    <row r="770">
      <c r="E770" s="58"/>
    </row>
    <row r="771">
      <c r="E771" s="58"/>
    </row>
    <row r="772">
      <c r="E772" s="58"/>
    </row>
    <row r="773">
      <c r="E773" s="58"/>
    </row>
    <row r="774">
      <c r="E774" s="58"/>
    </row>
    <row r="775">
      <c r="E775" s="58"/>
    </row>
    <row r="776">
      <c r="E776" s="58"/>
    </row>
    <row r="777">
      <c r="E777" s="58"/>
    </row>
    <row r="778">
      <c r="E778" s="58"/>
    </row>
    <row r="779">
      <c r="E779" s="58"/>
    </row>
    <row r="780">
      <c r="E780" s="58"/>
    </row>
    <row r="781">
      <c r="E781" s="58"/>
    </row>
    <row r="782">
      <c r="E782" s="58"/>
    </row>
    <row r="783">
      <c r="E783" s="58"/>
    </row>
    <row r="784">
      <c r="E784" s="58"/>
    </row>
    <row r="785">
      <c r="E785" s="58"/>
    </row>
    <row r="786">
      <c r="E786" s="58"/>
    </row>
    <row r="787">
      <c r="E787" s="58"/>
    </row>
    <row r="788">
      <c r="E788" s="58"/>
    </row>
    <row r="789">
      <c r="E789" s="58"/>
    </row>
    <row r="790">
      <c r="E790" s="58"/>
    </row>
    <row r="791">
      <c r="E791" s="58"/>
    </row>
    <row r="792">
      <c r="E792" s="58"/>
    </row>
    <row r="793">
      <c r="E793" s="58"/>
    </row>
    <row r="794">
      <c r="E794" s="58"/>
    </row>
    <row r="795">
      <c r="E795" s="58"/>
    </row>
    <row r="796">
      <c r="E796" s="58"/>
    </row>
    <row r="797">
      <c r="E797" s="58"/>
    </row>
    <row r="798">
      <c r="E798" s="58"/>
    </row>
    <row r="799">
      <c r="E799" s="58"/>
    </row>
    <row r="800">
      <c r="E800" s="58"/>
    </row>
    <row r="801">
      <c r="E801" s="58"/>
    </row>
    <row r="802">
      <c r="E802" s="58"/>
    </row>
    <row r="803">
      <c r="E803" s="58"/>
    </row>
    <row r="804">
      <c r="E804" s="58"/>
    </row>
    <row r="805">
      <c r="E805" s="58"/>
    </row>
    <row r="806">
      <c r="E806" s="58"/>
    </row>
    <row r="807">
      <c r="E807" s="58"/>
    </row>
    <row r="808">
      <c r="E808" s="58"/>
    </row>
    <row r="809">
      <c r="E809" s="58"/>
    </row>
    <row r="810">
      <c r="E810" s="58"/>
    </row>
    <row r="811">
      <c r="E811" s="58"/>
    </row>
    <row r="812">
      <c r="E812" s="58"/>
    </row>
    <row r="813">
      <c r="E813" s="58"/>
    </row>
    <row r="814">
      <c r="E814" s="58"/>
    </row>
    <row r="815">
      <c r="E815" s="58"/>
    </row>
    <row r="816">
      <c r="E816" s="58"/>
    </row>
    <row r="817">
      <c r="E817" s="58"/>
    </row>
    <row r="818">
      <c r="E818" s="58"/>
    </row>
    <row r="819">
      <c r="E819" s="58"/>
    </row>
    <row r="820">
      <c r="E820" s="58"/>
    </row>
    <row r="821">
      <c r="E821" s="58"/>
    </row>
    <row r="822">
      <c r="E822" s="58"/>
    </row>
    <row r="823">
      <c r="E823" s="58"/>
    </row>
    <row r="824">
      <c r="E824" s="58"/>
    </row>
    <row r="825">
      <c r="E825" s="58"/>
    </row>
    <row r="826">
      <c r="E826" s="58"/>
    </row>
    <row r="827">
      <c r="E827" s="58"/>
    </row>
    <row r="828">
      <c r="E828" s="58"/>
    </row>
    <row r="829">
      <c r="E829" s="58"/>
    </row>
    <row r="830">
      <c r="E830" s="58"/>
    </row>
    <row r="831">
      <c r="E831" s="58"/>
    </row>
    <row r="832">
      <c r="E832" s="58"/>
    </row>
    <row r="833">
      <c r="E833" s="58"/>
    </row>
    <row r="834">
      <c r="E834" s="58"/>
    </row>
    <row r="835">
      <c r="E835" s="58"/>
    </row>
    <row r="836">
      <c r="E836" s="58"/>
    </row>
    <row r="837">
      <c r="E837" s="58"/>
    </row>
    <row r="838">
      <c r="E838" s="58"/>
    </row>
    <row r="839">
      <c r="E839" s="58"/>
    </row>
    <row r="840">
      <c r="E840" s="58"/>
    </row>
    <row r="841">
      <c r="E841" s="58"/>
    </row>
    <row r="842">
      <c r="E842" s="58"/>
    </row>
    <row r="843">
      <c r="E843" s="58"/>
    </row>
    <row r="844">
      <c r="E844" s="58"/>
    </row>
    <row r="845">
      <c r="E845" s="58"/>
    </row>
    <row r="846">
      <c r="E846" s="58"/>
    </row>
    <row r="847">
      <c r="E847" s="58"/>
    </row>
    <row r="848">
      <c r="E848" s="58"/>
    </row>
    <row r="849">
      <c r="E849" s="58"/>
    </row>
    <row r="850">
      <c r="E850" s="58"/>
    </row>
    <row r="851">
      <c r="E851" s="58"/>
    </row>
    <row r="852">
      <c r="E852" s="58"/>
    </row>
    <row r="853">
      <c r="E853" s="58"/>
    </row>
    <row r="854">
      <c r="E854" s="58"/>
    </row>
    <row r="855">
      <c r="E855" s="58"/>
    </row>
    <row r="856">
      <c r="E856" s="58"/>
    </row>
    <row r="857">
      <c r="E857" s="58"/>
    </row>
    <row r="858">
      <c r="E858" s="58"/>
    </row>
    <row r="859">
      <c r="E859" s="58"/>
    </row>
    <row r="860">
      <c r="E860" s="58"/>
    </row>
    <row r="861">
      <c r="E861" s="58"/>
    </row>
    <row r="862">
      <c r="E862" s="58"/>
    </row>
    <row r="863">
      <c r="E863" s="58"/>
    </row>
    <row r="864">
      <c r="E864" s="58"/>
    </row>
    <row r="865">
      <c r="E865" s="58"/>
    </row>
    <row r="866">
      <c r="E866" s="58"/>
    </row>
    <row r="867">
      <c r="E867" s="58"/>
    </row>
    <row r="868">
      <c r="E868" s="58"/>
    </row>
    <row r="869">
      <c r="E869" s="58"/>
    </row>
    <row r="870">
      <c r="E870" s="58"/>
    </row>
    <row r="871">
      <c r="E871" s="58"/>
    </row>
    <row r="872">
      <c r="E872" s="58"/>
    </row>
    <row r="873">
      <c r="E873" s="58"/>
    </row>
    <row r="874">
      <c r="E874" s="58"/>
    </row>
    <row r="875">
      <c r="E875" s="58"/>
    </row>
    <row r="876">
      <c r="E876" s="58"/>
    </row>
    <row r="877">
      <c r="E877" s="58"/>
    </row>
    <row r="878">
      <c r="E878" s="58"/>
    </row>
    <row r="879">
      <c r="E879" s="58"/>
    </row>
    <row r="880">
      <c r="E880" s="58"/>
    </row>
    <row r="881">
      <c r="E881" s="58"/>
    </row>
    <row r="882">
      <c r="E882" s="58"/>
    </row>
    <row r="883">
      <c r="E883" s="58"/>
    </row>
    <row r="884">
      <c r="E884" s="58"/>
    </row>
    <row r="885">
      <c r="E885" s="58"/>
    </row>
    <row r="886">
      <c r="E886" s="58"/>
    </row>
    <row r="887">
      <c r="E887" s="58"/>
    </row>
    <row r="888">
      <c r="E888" s="58"/>
    </row>
    <row r="889">
      <c r="E889" s="58"/>
    </row>
    <row r="890">
      <c r="E890" s="58"/>
    </row>
    <row r="891">
      <c r="E891" s="58"/>
    </row>
    <row r="892">
      <c r="E892" s="58"/>
    </row>
    <row r="893">
      <c r="E893" s="58"/>
    </row>
    <row r="894">
      <c r="E894" s="58"/>
    </row>
    <row r="895">
      <c r="E895" s="58"/>
    </row>
    <row r="896">
      <c r="E896" s="58"/>
    </row>
    <row r="897">
      <c r="E897" s="58"/>
    </row>
    <row r="898">
      <c r="E898" s="58"/>
    </row>
    <row r="899">
      <c r="E899" s="58"/>
    </row>
    <row r="900">
      <c r="E900" s="58"/>
    </row>
    <row r="901">
      <c r="E901" s="58"/>
    </row>
    <row r="902">
      <c r="E902" s="58"/>
    </row>
    <row r="903">
      <c r="E903" s="58"/>
    </row>
    <row r="904">
      <c r="E904" s="58"/>
    </row>
    <row r="905">
      <c r="E905" s="58"/>
    </row>
    <row r="906">
      <c r="E906" s="58"/>
    </row>
    <row r="907">
      <c r="E907" s="58"/>
    </row>
    <row r="908">
      <c r="E908" s="58"/>
    </row>
    <row r="909">
      <c r="E909" s="58"/>
    </row>
    <row r="910">
      <c r="E910" s="58"/>
    </row>
    <row r="911">
      <c r="E911" s="58"/>
    </row>
    <row r="912">
      <c r="E912" s="58"/>
    </row>
    <row r="913">
      <c r="E913" s="58"/>
    </row>
    <row r="914">
      <c r="E914" s="58"/>
    </row>
    <row r="915">
      <c r="E915" s="58"/>
    </row>
    <row r="916">
      <c r="E916" s="58"/>
    </row>
    <row r="917">
      <c r="E917" s="58"/>
    </row>
    <row r="918">
      <c r="E918" s="58"/>
    </row>
    <row r="919">
      <c r="E919" s="58"/>
    </row>
    <row r="920">
      <c r="E920" s="58"/>
    </row>
    <row r="921">
      <c r="E921" s="58"/>
    </row>
    <row r="922">
      <c r="E922" s="58"/>
    </row>
    <row r="923">
      <c r="E923" s="58"/>
    </row>
    <row r="924">
      <c r="E924" s="58"/>
    </row>
    <row r="925">
      <c r="E925" s="58"/>
    </row>
    <row r="926">
      <c r="E926" s="58"/>
    </row>
    <row r="927">
      <c r="E927" s="58"/>
    </row>
    <row r="928">
      <c r="E928" s="58"/>
    </row>
    <row r="929">
      <c r="E929" s="58"/>
    </row>
    <row r="930">
      <c r="E930" s="58"/>
    </row>
    <row r="931">
      <c r="E931" s="58"/>
    </row>
    <row r="932">
      <c r="E932" s="58"/>
    </row>
    <row r="933">
      <c r="E933" s="58"/>
    </row>
    <row r="934">
      <c r="E934" s="58"/>
    </row>
    <row r="935">
      <c r="E935" s="58"/>
    </row>
    <row r="936">
      <c r="E936" s="58"/>
    </row>
    <row r="937">
      <c r="E937" s="58"/>
    </row>
    <row r="938">
      <c r="E938" s="58"/>
    </row>
    <row r="939">
      <c r="E939" s="58"/>
    </row>
    <row r="940">
      <c r="E940" s="58"/>
    </row>
    <row r="941">
      <c r="E941" s="58"/>
    </row>
    <row r="942">
      <c r="E942" s="58"/>
    </row>
    <row r="943">
      <c r="E943" s="58"/>
    </row>
    <row r="944">
      <c r="E944" s="58"/>
    </row>
    <row r="945">
      <c r="E945" s="58"/>
    </row>
    <row r="946">
      <c r="E946" s="58"/>
    </row>
    <row r="947">
      <c r="E947" s="58"/>
    </row>
    <row r="948">
      <c r="E948" s="58"/>
    </row>
    <row r="949">
      <c r="E949" s="58"/>
    </row>
    <row r="950">
      <c r="E950" s="58"/>
    </row>
    <row r="951">
      <c r="E951" s="58"/>
    </row>
    <row r="952">
      <c r="E952" s="58"/>
    </row>
    <row r="953">
      <c r="E953" s="58"/>
    </row>
    <row r="954">
      <c r="E954" s="58"/>
    </row>
    <row r="955">
      <c r="E955" s="58"/>
    </row>
    <row r="956">
      <c r="E956" s="58"/>
    </row>
    <row r="957">
      <c r="E957" s="58"/>
    </row>
    <row r="958">
      <c r="E958" s="58"/>
    </row>
    <row r="959">
      <c r="E959" s="58"/>
    </row>
    <row r="960">
      <c r="E960" s="58"/>
    </row>
    <row r="961">
      <c r="E961" s="58"/>
    </row>
    <row r="962">
      <c r="E962" s="58"/>
    </row>
    <row r="963">
      <c r="E963" s="58"/>
    </row>
    <row r="964">
      <c r="E964" s="58"/>
    </row>
    <row r="965">
      <c r="E965" s="58"/>
    </row>
    <row r="966">
      <c r="E966" s="58"/>
    </row>
    <row r="967">
      <c r="E967" s="58"/>
    </row>
    <row r="968">
      <c r="E968" s="58"/>
    </row>
    <row r="969">
      <c r="E969" s="58"/>
    </row>
    <row r="970">
      <c r="E970" s="58"/>
    </row>
    <row r="971">
      <c r="E971" s="58"/>
    </row>
    <row r="972">
      <c r="E972" s="58"/>
    </row>
    <row r="973">
      <c r="E973" s="58"/>
    </row>
    <row r="974">
      <c r="E974" s="58"/>
    </row>
    <row r="975">
      <c r="E975" s="58"/>
    </row>
    <row r="976">
      <c r="E976" s="58"/>
    </row>
    <row r="977">
      <c r="E977" s="58"/>
    </row>
    <row r="978">
      <c r="E978" s="58"/>
    </row>
    <row r="979">
      <c r="E979" s="58"/>
    </row>
    <row r="980">
      <c r="E980" s="58"/>
    </row>
    <row r="981">
      <c r="E981" s="58"/>
    </row>
    <row r="982">
      <c r="E982" s="58"/>
    </row>
    <row r="983">
      <c r="E983" s="58"/>
    </row>
    <row r="984">
      <c r="E984" s="58"/>
    </row>
    <row r="985">
      <c r="E985" s="58"/>
    </row>
    <row r="986">
      <c r="E986" s="58"/>
    </row>
    <row r="987">
      <c r="E987" s="58"/>
    </row>
    <row r="988">
      <c r="E988" s="58"/>
    </row>
    <row r="989">
      <c r="E989" s="58"/>
    </row>
    <row r="990">
      <c r="E990" s="58"/>
    </row>
    <row r="991">
      <c r="E991" s="58"/>
    </row>
    <row r="992">
      <c r="E992" s="58"/>
    </row>
    <row r="993">
      <c r="E993" s="58"/>
    </row>
    <row r="994">
      <c r="E994" s="58"/>
    </row>
    <row r="995">
      <c r="E995" s="58"/>
    </row>
    <row r="996">
      <c r="E996" s="58"/>
    </row>
    <row r="997">
      <c r="E997" s="58"/>
    </row>
    <row r="998">
      <c r="E998" s="58"/>
    </row>
    <row r="999">
      <c r="E999" s="58"/>
    </row>
    <row r="1000">
      <c r="E1000" s="58"/>
    </row>
    <row r="1001">
      <c r="E1001" s="58"/>
    </row>
    <row r="1002">
      <c r="E1002" s="58"/>
    </row>
    <row r="1003">
      <c r="E1003" s="58"/>
    </row>
    <row r="1004">
      <c r="E1004" s="58"/>
    </row>
    <row r="1005">
      <c r="E1005" s="58"/>
    </row>
    <row r="1006">
      <c r="E1006" s="58"/>
    </row>
    <row r="1007">
      <c r="E1007" s="58"/>
    </row>
    <row r="1008">
      <c r="E1008" s="58"/>
    </row>
    <row r="1009">
      <c r="E1009" s="58"/>
    </row>
    <row r="1010">
      <c r="E1010" s="58"/>
    </row>
    <row r="1011">
      <c r="E1011" s="58"/>
    </row>
    <row r="1012">
      <c r="E1012" s="58"/>
    </row>
    <row r="1013">
      <c r="E1013" s="58"/>
    </row>
    <row r="1014">
      <c r="E1014" s="58"/>
    </row>
    <row r="1015">
      <c r="E1015" s="58"/>
    </row>
    <row r="1016">
      <c r="E1016" s="58"/>
    </row>
    <row r="1017">
      <c r="E1017" s="58"/>
    </row>
    <row r="1018">
      <c r="E1018" s="58"/>
    </row>
    <row r="1019">
      <c r="E1019" s="58"/>
    </row>
    <row r="1020">
      <c r="E1020" s="58"/>
    </row>
    <row r="1021">
      <c r="E1021" s="58"/>
    </row>
    <row r="1022">
      <c r="E1022" s="58"/>
    </row>
    <row r="1023">
      <c r="E1023" s="58"/>
    </row>
    <row r="1024">
      <c r="E1024" s="58"/>
    </row>
    <row r="1025">
      <c r="E1025" s="58"/>
    </row>
    <row r="1026">
      <c r="E1026" s="58"/>
    </row>
  </sheetData>
  <drawing r:id="rId1"/>
</worksheet>
</file>