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giene Dashboard" sheetId="1" r:id="rId5"/>
    <sheet state="visible" name="BO Costing" sheetId="2" r:id="rId6"/>
  </sheets>
  <definedNames/>
  <calcPr/>
</workbook>
</file>

<file path=xl/sharedStrings.xml><?xml version="1.0" encoding="utf-8"?>
<sst xmlns="http://schemas.openxmlformats.org/spreadsheetml/2006/main" count="168" uniqueCount="95">
  <si>
    <t>CARBIDE INDIA - BO COSTING HYGIENE DASHBOARD</t>
  </si>
  <si>
    <t>Last Updated: 12/6/2026, 1:08:18 pm</t>
  </si>
  <si>
    <t>Sheets: 1   |   Total Fields: 39   |   Fields with Gaps: 36   |   Overall Fill Rate: 8%</t>
  </si>
  <si>
    <t>Grey = Blanks / Don't Know found   |   White = 100% Complete</t>
  </si>
  <si>
    <t>To add a new sheet: open Apps Script and add an entry to BO_SHEET_REGISTRY at the top of the script</t>
  </si>
  <si>
    <t>BO Costing   (27 rows)   [Headers: Row 5 | Data from: Row 6]</t>
  </si>
  <si>
    <t>Col</t>
  </si>
  <si>
    <t>Field Name</t>
  </si>
  <si>
    <t>Blanks</t>
  </si>
  <si>
    <t>Fill %</t>
  </si>
  <si>
    <t>A</t>
  </si>
  <si>
    <t>Sr. No.</t>
  </si>
  <si>
    <t>B</t>
  </si>
  <si>
    <t>SM No</t>
  </si>
  <si>
    <t>C</t>
  </si>
  <si>
    <t>Enquiry Date</t>
  </si>
  <si>
    <t>D</t>
  </si>
  <si>
    <t>Cust Product Name</t>
  </si>
  <si>
    <t>E</t>
  </si>
  <si>
    <t>Cust Drawing No</t>
  </si>
  <si>
    <t>F</t>
  </si>
  <si>
    <t>Drawing Revision No</t>
  </si>
  <si>
    <t>G</t>
  </si>
  <si>
    <t>Qty</t>
  </si>
  <si>
    <t>H</t>
  </si>
  <si>
    <t>Shape</t>
  </si>
  <si>
    <t>I</t>
  </si>
  <si>
    <t>Outer Dia</t>
  </si>
  <si>
    <t>J</t>
  </si>
  <si>
    <t>Inner Dia</t>
  </si>
  <si>
    <t>K</t>
  </si>
  <si>
    <t>Length</t>
  </si>
  <si>
    <t>L</t>
  </si>
  <si>
    <t>Width</t>
  </si>
  <si>
    <t>M</t>
  </si>
  <si>
    <t>Thickness</t>
  </si>
  <si>
    <t>N</t>
  </si>
  <si>
    <t>Dimension Notes</t>
  </si>
  <si>
    <t>O</t>
  </si>
  <si>
    <t>Grade (Customer)</t>
  </si>
  <si>
    <t>P</t>
  </si>
  <si>
    <t>Grade Name for Cust</t>
  </si>
  <si>
    <t>Q</t>
  </si>
  <si>
    <t>Internal Grade</t>
  </si>
  <si>
    <t>R</t>
  </si>
  <si>
    <t>Tolerance</t>
  </si>
  <si>
    <t>S</t>
  </si>
  <si>
    <t>Condition</t>
  </si>
  <si>
    <t>T</t>
  </si>
  <si>
    <t>Internal Production Code</t>
  </si>
  <si>
    <t>U</t>
  </si>
  <si>
    <t>Part No</t>
  </si>
  <si>
    <t>V</t>
  </si>
  <si>
    <t>Costing Type</t>
  </si>
  <si>
    <t>W</t>
  </si>
  <si>
    <t>Costing Logic</t>
  </si>
  <si>
    <t>X</t>
  </si>
  <si>
    <t>Block Wt per Piece (in gms)</t>
  </si>
  <si>
    <t>Y</t>
  </si>
  <si>
    <t>Block Wt for Order (in kg)</t>
  </si>
  <si>
    <t>Z</t>
  </si>
  <si>
    <t>Direct Wt per Piece (in gms)</t>
  </si>
  <si>
    <t>AA</t>
  </si>
  <si>
    <t>Direct Wt for Order (in kg)</t>
  </si>
  <si>
    <t>AB</t>
  </si>
  <si>
    <t>Total Wt for Order (in kg)</t>
  </si>
  <si>
    <t>AC</t>
  </si>
  <si>
    <t>Outsourced Vendor Cost</t>
  </si>
  <si>
    <t>AD</t>
  </si>
  <si>
    <t>Vendor OH</t>
  </si>
  <si>
    <t>AE</t>
  </si>
  <si>
    <t>Vendor Notes</t>
  </si>
  <si>
    <t>AF</t>
  </si>
  <si>
    <t>Devopment Cost</t>
  </si>
  <si>
    <t>AG</t>
  </si>
  <si>
    <t>Development Notes</t>
  </si>
  <si>
    <t>AH</t>
  </si>
  <si>
    <t>Technical Notes</t>
  </si>
  <si>
    <t>AI</t>
  </si>
  <si>
    <t>Final Cost</t>
  </si>
  <si>
    <t>AJ</t>
  </si>
  <si>
    <t>Development Time</t>
  </si>
  <si>
    <t>AK</t>
  </si>
  <si>
    <t>Delivery Time</t>
  </si>
  <si>
    <t>AL</t>
  </si>
  <si>
    <t>Validity</t>
  </si>
  <si>
    <t>AM</t>
  </si>
  <si>
    <t>Costing Done Status</t>
  </si>
  <si>
    <t>Total data rows: 27</t>
  </si>
  <si>
    <r>
      <rPr>
        <rFont val="Arial"/>
        <b/>
        <color theme="1"/>
        <sz val="9.0"/>
      </rPr>
      <t>Date Format Example</t>
    </r>
    <r>
      <rPr>
        <rFont val="Arial"/>
        <color theme="1"/>
      </rPr>
      <t xml:space="preserve"> - </t>
    </r>
    <r>
      <rPr>
        <rFont val="Arial"/>
        <b/>
        <color theme="1"/>
      </rPr>
      <t>(22-May-2026)</t>
    </r>
  </si>
  <si>
    <t>Auto</t>
  </si>
  <si>
    <t>Manual</t>
  </si>
  <si>
    <t>MM/DD/YYYY</t>
  </si>
  <si>
    <t>Drop Down</t>
  </si>
  <si>
    <t xml:space="preserve">Auto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</si>
</sst>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sz val="9.0"/>
      <color rgb="FF666666"/>
      <name val="Arial"/>
      <scheme val="minor"/>
    </font>
    <font>
      <b/>
      <sz val="9.0"/>
      <color rgb="FF333333"/>
      <name val="Arial"/>
      <scheme val="minor"/>
    </font>
    <font>
      <i/>
      <sz val="8.0"/>
      <color rgb="FF444444"/>
      <name val="Arial"/>
      <scheme val="minor"/>
    </font>
    <font>
      <i/>
      <sz val="8.0"/>
      <color rgb="FF888888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FFFFFF"/>
      <name val="Arial"/>
      <scheme val="minor"/>
    </font>
    <font>
      <sz val="9.0"/>
      <color rgb="FF000000"/>
      <name val="Arial"/>
      <scheme val="minor"/>
    </font>
    <font>
      <i/>
      <sz val="8.0"/>
      <color rgb="FF555555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A4A4A"/>
        <bgColor rgb="FF4A4A4A"/>
      </patternFill>
    </fill>
    <fill>
      <patternFill patternType="solid">
        <fgColor rgb="FFE8E8E8"/>
        <bgColor rgb="FFE8E8E8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0" fontId="6" numFmtId="0" xfId="0" applyFont="1"/>
    <xf borderId="0" fillId="0" fontId="6" numFmtId="9" xfId="0" applyFont="1" applyNumberFormat="1"/>
    <xf borderId="1" fillId="6" fontId="7" numFmtId="0" xfId="0" applyAlignment="1" applyBorder="1" applyFill="1" applyFont="1">
      <alignment horizontal="left" readingOrder="0" vertical="center"/>
    </xf>
    <xf borderId="2" fillId="0" fontId="8" numFmtId="0" xfId="0" applyBorder="1" applyFont="1"/>
    <xf borderId="3" fillId="0" fontId="8" numFmtId="0" xfId="0" applyBorder="1" applyFont="1"/>
    <xf borderId="4" fillId="2" fontId="9" numFmtId="0" xfId="0" applyAlignment="1" applyBorder="1" applyFont="1">
      <alignment horizontal="center" readingOrder="0"/>
    </xf>
    <xf borderId="4" fillId="7" fontId="10" numFmtId="0" xfId="0" applyAlignment="1" applyBorder="1" applyFill="1" applyFont="1">
      <alignment readingOrder="0"/>
    </xf>
    <xf borderId="4" fillId="7" fontId="10" numFmtId="0" xfId="0" applyAlignment="1" applyBorder="1" applyFont="1">
      <alignment horizontal="center"/>
    </xf>
    <xf borderId="4" fillId="7" fontId="10" numFmtId="9" xfId="0" applyAlignment="1" applyBorder="1" applyFont="1" applyNumberFormat="1">
      <alignment horizontal="center" readingOrder="0"/>
    </xf>
    <xf borderId="4" fillId="6" fontId="10" numFmtId="0" xfId="0" applyAlignment="1" applyBorder="1" applyFont="1">
      <alignment readingOrder="0"/>
    </xf>
    <xf borderId="4" fillId="6" fontId="10" numFmtId="0" xfId="0" applyAlignment="1" applyBorder="1" applyFont="1">
      <alignment horizontal="center" readingOrder="0"/>
    </xf>
    <xf borderId="4" fillId="6" fontId="10" numFmtId="9" xfId="0" applyAlignment="1" applyBorder="1" applyFont="1" applyNumberFormat="1">
      <alignment horizontal="center" readingOrder="0"/>
    </xf>
    <xf borderId="4" fillId="6" fontId="10" numFmtId="0" xfId="0" applyAlignment="1" applyBorder="1" applyFont="1">
      <alignment horizontal="center" readingOrder="0"/>
    </xf>
    <xf borderId="1" fillId="8" fontId="11" numFmtId="0" xfId="0" applyAlignment="1" applyBorder="1" applyFill="1" applyFont="1">
      <alignment horizontal="right" readingOrder="0"/>
    </xf>
    <xf borderId="0" fillId="7" fontId="6" numFmtId="0" xfId="0" applyAlignment="1" applyFont="1">
      <alignment shrinkToFit="0" vertical="top" wrapText="1"/>
    </xf>
    <xf borderId="0" fillId="7" fontId="6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9" fontId="6" numFmtId="0" xfId="0" applyAlignment="1" applyFill="1" applyFont="1">
      <alignment readingOrder="0" shrinkToFit="0" vertical="top" wrapText="1"/>
    </xf>
    <xf borderId="5" fillId="7" fontId="6" numFmtId="0" xfId="0" applyAlignment="1" applyBorder="1" applyFont="1">
      <alignment readingOrder="0" shrinkToFit="0" vertical="top" wrapText="1"/>
    </xf>
    <xf borderId="5" fillId="4" fontId="13" numFmtId="0" xfId="0" applyAlignment="1" applyBorder="1" applyFont="1">
      <alignment readingOrder="0" shrinkToFit="0" vertical="center" wrapText="1"/>
    </xf>
    <xf borderId="5" fillId="4" fontId="13" numFmtId="0" xfId="0" applyAlignment="1" applyBorder="1" applyFont="1">
      <alignment shrinkToFit="0" vertical="center" wrapText="1"/>
    </xf>
    <xf borderId="5" fillId="4" fontId="13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readingOrder="0" shrinkToFit="0" vertical="center" wrapText="1"/>
    </xf>
    <xf borderId="5" fillId="0" fontId="14" numFmtId="0" xfId="0" applyAlignment="1" applyBorder="1" applyFont="1">
      <alignment horizontal="right" readingOrder="0" vertical="top"/>
    </xf>
    <xf borderId="5" fillId="0" fontId="14" numFmtId="0" xfId="0" applyAlignment="1" applyBorder="1" applyFont="1">
      <alignment vertical="top"/>
    </xf>
    <xf borderId="5" fillId="0" fontId="14" numFmtId="164" xfId="0" applyAlignment="1" applyBorder="1" applyFont="1" applyNumberFormat="1">
      <alignment readingOrder="0" vertical="top"/>
    </xf>
    <xf borderId="5" fillId="0" fontId="14" numFmtId="0" xfId="0" applyAlignment="1" applyBorder="1" applyFont="1">
      <alignment horizontal="center" vertical="top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vertical="top"/>
    </xf>
    <xf borderId="5" fillId="0" fontId="14" numFmtId="0" xfId="0" applyAlignment="1" applyBorder="1" applyFont="1">
      <alignment horizontal="right" vertical="top"/>
    </xf>
    <xf borderId="5" fillId="0" fontId="14" numFmtId="164" xfId="0" applyAlignment="1" applyBorder="1" applyFont="1" applyNumberFormat="1">
      <alignment vertical="top"/>
    </xf>
    <xf borderId="5" fillId="0" fontId="1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8.88"/>
    <col customWidth="1" min="2" max="2" width="19.0"/>
    <col customWidth="1" min="3" max="3" width="5.38"/>
    <col customWidth="1" min="4" max="5" width="4.5"/>
  </cols>
  <sheetData>
    <row r="1" ht="28.5" customHeight="1">
      <c r="A1" s="1" t="s">
        <v>0</v>
      </c>
    </row>
    <row r="2" ht="18.0" customHeight="1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  <row r="6">
      <c r="A6" s="6"/>
      <c r="B6" s="6"/>
      <c r="D6" s="7"/>
      <c r="E6" s="7"/>
    </row>
    <row r="7" ht="18.0" customHeight="1">
      <c r="A7" s="8" t="s">
        <v>5</v>
      </c>
      <c r="B7" s="9"/>
      <c r="C7" s="9"/>
      <c r="D7" s="10"/>
      <c r="E7" s="7"/>
    </row>
    <row r="8">
      <c r="A8" s="11" t="s">
        <v>6</v>
      </c>
      <c r="B8" s="11" t="s">
        <v>7</v>
      </c>
      <c r="C8" s="11" t="s">
        <v>8</v>
      </c>
      <c r="D8" s="11" t="s">
        <v>9</v>
      </c>
      <c r="E8" s="7"/>
    </row>
    <row r="9">
      <c r="A9" s="12" t="s">
        <v>10</v>
      </c>
      <c r="B9" s="12" t="s">
        <v>11</v>
      </c>
      <c r="C9" s="13"/>
      <c r="D9" s="14">
        <v>1.0</v>
      </c>
      <c r="E9" s="7"/>
    </row>
    <row r="10">
      <c r="A10" s="15" t="s">
        <v>12</v>
      </c>
      <c r="B10" s="15" t="s">
        <v>13</v>
      </c>
      <c r="C10" s="16">
        <v>27.0</v>
      </c>
      <c r="D10" s="17">
        <v>0.0</v>
      </c>
      <c r="E10" s="7"/>
    </row>
    <row r="11">
      <c r="A11" s="15" t="s">
        <v>14</v>
      </c>
      <c r="B11" s="15" t="s">
        <v>15</v>
      </c>
      <c r="C11" s="16">
        <v>27.0</v>
      </c>
      <c r="D11" s="17">
        <v>0.0</v>
      </c>
      <c r="E11" s="7"/>
    </row>
    <row r="12">
      <c r="A12" s="15" t="s">
        <v>16</v>
      </c>
      <c r="B12" s="15" t="s">
        <v>17</v>
      </c>
      <c r="C12" s="16">
        <v>27.0</v>
      </c>
      <c r="D12" s="17">
        <v>0.0</v>
      </c>
      <c r="E12" s="7"/>
    </row>
    <row r="13">
      <c r="A13" s="15" t="s">
        <v>18</v>
      </c>
      <c r="B13" s="15" t="s">
        <v>19</v>
      </c>
      <c r="C13" s="16">
        <v>27.0</v>
      </c>
      <c r="D13" s="17">
        <v>0.0</v>
      </c>
      <c r="E13" s="7"/>
    </row>
    <row r="14">
      <c r="A14" s="15" t="s">
        <v>20</v>
      </c>
      <c r="B14" s="15" t="s">
        <v>21</v>
      </c>
      <c r="C14" s="16">
        <v>27.0</v>
      </c>
      <c r="D14" s="17">
        <v>0.0</v>
      </c>
      <c r="E14" s="7"/>
    </row>
    <row r="15">
      <c r="A15" s="15" t="s">
        <v>22</v>
      </c>
      <c r="B15" s="15" t="s">
        <v>23</v>
      </c>
      <c r="C15" s="16">
        <v>27.0</v>
      </c>
      <c r="D15" s="17">
        <v>0.0</v>
      </c>
      <c r="E15" s="7"/>
    </row>
    <row r="16">
      <c r="A16" s="15" t="s">
        <v>24</v>
      </c>
      <c r="B16" s="15" t="s">
        <v>25</v>
      </c>
      <c r="C16" s="16">
        <v>27.0</v>
      </c>
      <c r="D16" s="17">
        <v>0.0</v>
      </c>
      <c r="E16" s="7"/>
    </row>
    <row r="17">
      <c r="A17" s="15" t="s">
        <v>26</v>
      </c>
      <c r="B17" s="15" t="s">
        <v>27</v>
      </c>
      <c r="C17" s="16">
        <v>27.0</v>
      </c>
      <c r="D17" s="17">
        <v>0.0</v>
      </c>
      <c r="E17" s="7"/>
    </row>
    <row r="18">
      <c r="A18" s="15" t="s">
        <v>28</v>
      </c>
      <c r="B18" s="15" t="s">
        <v>29</v>
      </c>
      <c r="C18" s="16">
        <v>27.0</v>
      </c>
      <c r="D18" s="17">
        <v>0.0</v>
      </c>
      <c r="E18" s="7"/>
    </row>
    <row r="19">
      <c r="A19" s="15" t="s">
        <v>30</v>
      </c>
      <c r="B19" s="15" t="s">
        <v>31</v>
      </c>
      <c r="C19" s="16">
        <v>27.0</v>
      </c>
      <c r="D19" s="17">
        <v>0.0</v>
      </c>
      <c r="E19" s="7"/>
    </row>
    <row r="20">
      <c r="A20" s="15" t="s">
        <v>32</v>
      </c>
      <c r="B20" s="15" t="s">
        <v>33</v>
      </c>
      <c r="C20" s="16">
        <v>27.0</v>
      </c>
      <c r="D20" s="17">
        <v>0.0</v>
      </c>
      <c r="E20" s="7"/>
    </row>
    <row r="21">
      <c r="A21" s="15" t="s">
        <v>34</v>
      </c>
      <c r="B21" s="15" t="s">
        <v>35</v>
      </c>
      <c r="C21" s="16">
        <v>27.0</v>
      </c>
      <c r="D21" s="17">
        <v>0.0</v>
      </c>
      <c r="E21" s="7"/>
    </row>
    <row r="22">
      <c r="A22" s="15" t="s">
        <v>36</v>
      </c>
      <c r="B22" s="15" t="s">
        <v>37</v>
      </c>
      <c r="C22" s="16">
        <v>27.0</v>
      </c>
      <c r="D22" s="17">
        <v>0.0</v>
      </c>
      <c r="E22" s="7"/>
    </row>
    <row r="23">
      <c r="A23" s="15" t="s">
        <v>38</v>
      </c>
      <c r="B23" s="15" t="s">
        <v>39</v>
      </c>
      <c r="C23" s="16">
        <v>27.0</v>
      </c>
      <c r="D23" s="17">
        <v>0.0</v>
      </c>
      <c r="E23" s="7"/>
    </row>
    <row r="24">
      <c r="A24" s="15" t="s">
        <v>40</v>
      </c>
      <c r="B24" s="15" t="s">
        <v>41</v>
      </c>
      <c r="C24" s="16">
        <v>27.0</v>
      </c>
      <c r="D24" s="17">
        <v>0.0</v>
      </c>
      <c r="E24" s="7"/>
    </row>
    <row r="25">
      <c r="A25" s="15" t="s">
        <v>42</v>
      </c>
      <c r="B25" s="15" t="s">
        <v>43</v>
      </c>
      <c r="C25" s="16">
        <v>27.0</v>
      </c>
      <c r="D25" s="17">
        <v>0.0</v>
      </c>
      <c r="E25" s="7"/>
    </row>
    <row r="26">
      <c r="A26" s="15" t="s">
        <v>44</v>
      </c>
      <c r="B26" s="15" t="s">
        <v>45</v>
      </c>
      <c r="C26" s="16">
        <v>27.0</v>
      </c>
      <c r="D26" s="17">
        <v>0.0</v>
      </c>
      <c r="E26" s="7"/>
    </row>
    <row r="27">
      <c r="A27" s="15" t="s">
        <v>46</v>
      </c>
      <c r="B27" s="15" t="s">
        <v>47</v>
      </c>
      <c r="C27" s="16">
        <v>27.0</v>
      </c>
      <c r="D27" s="17">
        <v>0.0</v>
      </c>
      <c r="E27" s="7"/>
    </row>
    <row r="28">
      <c r="A28" s="15" t="s">
        <v>48</v>
      </c>
      <c r="B28" s="15" t="s">
        <v>49</v>
      </c>
      <c r="C28" s="16">
        <v>27.0</v>
      </c>
      <c r="D28" s="17">
        <v>0.0</v>
      </c>
      <c r="E28" s="7"/>
    </row>
    <row r="29">
      <c r="A29" s="15" t="s">
        <v>50</v>
      </c>
      <c r="B29" s="15" t="s">
        <v>51</v>
      </c>
      <c r="C29" s="16">
        <v>27.0</v>
      </c>
      <c r="D29" s="17">
        <v>0.0</v>
      </c>
      <c r="E29" s="7"/>
    </row>
    <row r="30">
      <c r="A30" s="15" t="s">
        <v>52</v>
      </c>
      <c r="B30" s="15" t="s">
        <v>53</v>
      </c>
      <c r="C30" s="16">
        <v>27.0</v>
      </c>
      <c r="D30" s="17">
        <v>0.0</v>
      </c>
      <c r="E30" s="7"/>
    </row>
    <row r="31">
      <c r="A31" s="15" t="s">
        <v>54</v>
      </c>
      <c r="B31" s="15" t="s">
        <v>55</v>
      </c>
      <c r="C31" s="16">
        <v>27.0</v>
      </c>
      <c r="D31" s="17">
        <v>0.0</v>
      </c>
      <c r="E31" s="7"/>
    </row>
    <row r="32">
      <c r="A32" s="15" t="s">
        <v>56</v>
      </c>
      <c r="B32" s="15" t="s">
        <v>57</v>
      </c>
      <c r="C32" s="16">
        <v>27.0</v>
      </c>
      <c r="D32" s="17">
        <v>0.0</v>
      </c>
      <c r="E32" s="7"/>
    </row>
    <row r="33">
      <c r="A33" s="12" t="s">
        <v>58</v>
      </c>
      <c r="B33" s="12" t="s">
        <v>59</v>
      </c>
      <c r="C33" s="13"/>
      <c r="D33" s="14">
        <v>1.0</v>
      </c>
      <c r="E33" s="7"/>
    </row>
    <row r="34">
      <c r="A34" s="15" t="s">
        <v>60</v>
      </c>
      <c r="B34" s="15" t="s">
        <v>61</v>
      </c>
      <c r="C34" s="16">
        <v>27.0</v>
      </c>
      <c r="D34" s="17">
        <v>0.0</v>
      </c>
      <c r="E34" s="7"/>
    </row>
    <row r="35">
      <c r="A35" s="12" t="s">
        <v>62</v>
      </c>
      <c r="B35" s="12" t="s">
        <v>63</v>
      </c>
      <c r="C35" s="13"/>
      <c r="D35" s="14">
        <v>1.0</v>
      </c>
      <c r="E35" s="7"/>
    </row>
    <row r="36">
      <c r="A36" s="15" t="s">
        <v>64</v>
      </c>
      <c r="B36" s="15" t="s">
        <v>65</v>
      </c>
      <c r="C36" s="16">
        <v>27.0</v>
      </c>
      <c r="D36" s="17">
        <v>0.0</v>
      </c>
    </row>
    <row r="37">
      <c r="A37" s="15" t="s">
        <v>66</v>
      </c>
      <c r="B37" s="15" t="s">
        <v>67</v>
      </c>
      <c r="C37" s="16">
        <v>27.0</v>
      </c>
      <c r="D37" s="17">
        <v>0.0</v>
      </c>
    </row>
    <row r="38">
      <c r="A38" s="15" t="s">
        <v>68</v>
      </c>
      <c r="B38" s="15" t="s">
        <v>69</v>
      </c>
      <c r="C38" s="16">
        <v>27.0</v>
      </c>
      <c r="D38" s="17">
        <v>0.0</v>
      </c>
    </row>
    <row r="39">
      <c r="A39" s="15" t="s">
        <v>70</v>
      </c>
      <c r="B39" s="15" t="s">
        <v>71</v>
      </c>
      <c r="C39" s="16">
        <v>27.0</v>
      </c>
      <c r="D39" s="17">
        <v>0.0</v>
      </c>
    </row>
    <row r="40">
      <c r="A40" s="15" t="s">
        <v>72</v>
      </c>
      <c r="B40" s="15" t="s">
        <v>73</v>
      </c>
      <c r="C40" s="16">
        <v>27.0</v>
      </c>
      <c r="D40" s="17">
        <v>0.0</v>
      </c>
    </row>
    <row r="41">
      <c r="A41" s="15" t="s">
        <v>74</v>
      </c>
      <c r="B41" s="15" t="s">
        <v>75</v>
      </c>
      <c r="C41" s="16">
        <v>27.0</v>
      </c>
      <c r="D41" s="17">
        <v>0.0</v>
      </c>
    </row>
    <row r="42">
      <c r="A42" s="15" t="s">
        <v>76</v>
      </c>
      <c r="B42" s="15" t="s">
        <v>77</v>
      </c>
      <c r="C42" s="16">
        <v>27.0</v>
      </c>
      <c r="D42" s="17">
        <v>0.0</v>
      </c>
    </row>
    <row r="43">
      <c r="A43" s="15" t="s">
        <v>78</v>
      </c>
      <c r="B43" s="15" t="s">
        <v>79</v>
      </c>
      <c r="C43" s="18">
        <v>27.0</v>
      </c>
      <c r="D43" s="17">
        <v>0.0</v>
      </c>
    </row>
    <row r="44">
      <c r="A44" s="15" t="s">
        <v>80</v>
      </c>
      <c r="B44" s="15" t="s">
        <v>81</v>
      </c>
      <c r="C44" s="16">
        <v>27.0</v>
      </c>
      <c r="D44" s="17">
        <v>0.0</v>
      </c>
    </row>
    <row r="45">
      <c r="A45" s="15" t="s">
        <v>82</v>
      </c>
      <c r="B45" s="15" t="s">
        <v>83</v>
      </c>
      <c r="C45" s="16">
        <v>27.0</v>
      </c>
      <c r="D45" s="17">
        <v>0.0</v>
      </c>
    </row>
    <row r="46">
      <c r="A46" s="15" t="s">
        <v>84</v>
      </c>
      <c r="B46" s="15" t="s">
        <v>85</v>
      </c>
      <c r="C46" s="16">
        <v>27.0</v>
      </c>
      <c r="D46" s="17">
        <v>0.0</v>
      </c>
    </row>
    <row r="47">
      <c r="A47" s="15" t="s">
        <v>86</v>
      </c>
      <c r="B47" s="15" t="s">
        <v>87</v>
      </c>
      <c r="C47" s="16">
        <v>27.0</v>
      </c>
      <c r="D47" s="17">
        <v>0.0</v>
      </c>
    </row>
    <row r="48">
      <c r="A48" s="19" t="s">
        <v>88</v>
      </c>
      <c r="B48" s="9"/>
      <c r="C48" s="9"/>
      <c r="D48" s="10"/>
    </row>
  </sheetData>
  <mergeCells count="7">
    <mergeCell ref="A1:J1"/>
    <mergeCell ref="A2:J2"/>
    <mergeCell ref="A3:J3"/>
    <mergeCell ref="A4:J4"/>
    <mergeCell ref="A5:J5"/>
    <mergeCell ref="A7:D7"/>
    <mergeCell ref="A48:D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8.13"/>
    <col customWidth="1" min="2" max="2" width="10.63"/>
    <col customWidth="1" min="3" max="3" width="12.38"/>
    <col customWidth="1" min="4" max="5" width="9.75"/>
    <col customWidth="1" min="15" max="15" width="9.38"/>
  </cols>
  <sheetData>
    <row r="1">
      <c r="A1" s="20"/>
      <c r="B1" s="21"/>
      <c r="C1" s="21"/>
      <c r="D1" s="21"/>
      <c r="E1" s="21"/>
      <c r="F1" s="20"/>
      <c r="G1" s="20"/>
      <c r="H1" s="20"/>
      <c r="I1" s="20"/>
      <c r="J1" s="20"/>
      <c r="K1" s="20"/>
      <c r="L1" s="20"/>
      <c r="M1" s="20"/>
      <c r="N1" s="20"/>
      <c r="O1" s="22"/>
      <c r="P1" s="20"/>
      <c r="Q1" s="20"/>
      <c r="R1" s="20"/>
      <c r="S1" s="20"/>
      <c r="T1" s="20"/>
      <c r="U1" s="20"/>
      <c r="V1" s="20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</row>
    <row r="2">
      <c r="A2" s="20"/>
      <c r="B2" s="21"/>
      <c r="C2" s="24" t="s">
        <v>89</v>
      </c>
      <c r="D2" s="21"/>
      <c r="E2" s="21"/>
      <c r="F2" s="20"/>
      <c r="G2" s="20"/>
      <c r="H2" s="20"/>
      <c r="I2" s="20"/>
      <c r="J2" s="20"/>
      <c r="K2" s="20"/>
      <c r="L2" s="20"/>
      <c r="M2" s="20"/>
      <c r="N2" s="20"/>
      <c r="O2" s="22"/>
      <c r="P2" s="20"/>
      <c r="Q2" s="20"/>
      <c r="R2" s="20"/>
      <c r="S2" s="20"/>
      <c r="T2" s="20"/>
      <c r="U2" s="20"/>
      <c r="V2" s="20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>
      <c r="A3" s="20"/>
      <c r="B3" s="20"/>
      <c r="C3" s="20"/>
      <c r="D3" s="21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>
      <c r="A4" s="25" t="s">
        <v>90</v>
      </c>
      <c r="B4" s="25" t="s">
        <v>91</v>
      </c>
      <c r="C4" s="25" t="s">
        <v>92</v>
      </c>
      <c r="D4" s="25" t="s">
        <v>91</v>
      </c>
      <c r="E4" s="25" t="s">
        <v>91</v>
      </c>
      <c r="F4" s="25" t="s">
        <v>91</v>
      </c>
      <c r="G4" s="25" t="s">
        <v>91</v>
      </c>
      <c r="H4" s="25" t="s">
        <v>93</v>
      </c>
      <c r="I4" s="25" t="s">
        <v>91</v>
      </c>
      <c r="J4" s="25" t="s">
        <v>91</v>
      </c>
      <c r="K4" s="25" t="s">
        <v>91</v>
      </c>
      <c r="L4" s="25" t="s">
        <v>91</v>
      </c>
      <c r="M4" s="25" t="s">
        <v>91</v>
      </c>
      <c r="N4" s="25" t="s">
        <v>91</v>
      </c>
      <c r="O4" s="25" t="s">
        <v>91</v>
      </c>
      <c r="P4" s="25" t="s">
        <v>93</v>
      </c>
      <c r="Q4" s="25" t="s">
        <v>91</v>
      </c>
      <c r="R4" s="25" t="s">
        <v>91</v>
      </c>
      <c r="S4" s="25" t="s">
        <v>93</v>
      </c>
      <c r="T4" s="25" t="s">
        <v>91</v>
      </c>
      <c r="U4" s="25" t="s">
        <v>91</v>
      </c>
      <c r="V4" s="25" t="s">
        <v>93</v>
      </c>
      <c r="W4" s="25" t="s">
        <v>93</v>
      </c>
      <c r="X4" s="25" t="s">
        <v>91</v>
      </c>
      <c r="Y4" s="25" t="s">
        <v>90</v>
      </c>
      <c r="Z4" s="25" t="s">
        <v>91</v>
      </c>
      <c r="AA4" s="25" t="s">
        <v>94</v>
      </c>
      <c r="AB4" s="25" t="s">
        <v>91</v>
      </c>
      <c r="AC4" s="25" t="s">
        <v>91</v>
      </c>
      <c r="AD4" s="25" t="s">
        <v>91</v>
      </c>
      <c r="AE4" s="25" t="s">
        <v>91</v>
      </c>
      <c r="AF4" s="25" t="s">
        <v>91</v>
      </c>
      <c r="AG4" s="25" t="s">
        <v>91</v>
      </c>
      <c r="AH4" s="25" t="s">
        <v>91</v>
      </c>
      <c r="AI4" s="25" t="s">
        <v>91</v>
      </c>
      <c r="AJ4" s="25" t="s">
        <v>93</v>
      </c>
      <c r="AK4" s="25" t="s">
        <v>93</v>
      </c>
      <c r="AL4" s="25" t="s">
        <v>93</v>
      </c>
      <c r="AM4" s="25" t="s">
        <v>93</v>
      </c>
    </row>
    <row r="5" ht="64.5" customHeight="1">
      <c r="A5" s="26" t="s">
        <v>11</v>
      </c>
      <c r="B5" s="27" t="s">
        <v>13</v>
      </c>
      <c r="C5" s="27" t="s">
        <v>15</v>
      </c>
      <c r="D5" s="27" t="s">
        <v>17</v>
      </c>
      <c r="E5" s="27" t="s">
        <v>19</v>
      </c>
      <c r="F5" s="27" t="s">
        <v>21</v>
      </c>
      <c r="G5" s="27" t="s">
        <v>23</v>
      </c>
      <c r="H5" s="28" t="s">
        <v>25</v>
      </c>
      <c r="I5" s="27" t="s">
        <v>27</v>
      </c>
      <c r="J5" s="27" t="s">
        <v>29</v>
      </c>
      <c r="K5" s="28" t="s">
        <v>31</v>
      </c>
      <c r="L5" s="27" t="s">
        <v>33</v>
      </c>
      <c r="M5" s="27" t="s">
        <v>35</v>
      </c>
      <c r="N5" s="27" t="s">
        <v>37</v>
      </c>
      <c r="O5" s="28" t="s">
        <v>39</v>
      </c>
      <c r="P5" s="28" t="s">
        <v>41</v>
      </c>
      <c r="Q5" s="28" t="s">
        <v>43</v>
      </c>
      <c r="R5" s="28" t="s">
        <v>45</v>
      </c>
      <c r="S5" s="28" t="s">
        <v>47</v>
      </c>
      <c r="T5" s="27" t="s">
        <v>49</v>
      </c>
      <c r="U5" s="27" t="s">
        <v>51</v>
      </c>
      <c r="V5" s="27" t="s">
        <v>53</v>
      </c>
      <c r="W5" s="29" t="s">
        <v>55</v>
      </c>
      <c r="X5" s="29" t="s">
        <v>57</v>
      </c>
      <c r="Y5" s="29" t="s">
        <v>59</v>
      </c>
      <c r="Z5" s="29" t="s">
        <v>61</v>
      </c>
      <c r="AA5" s="29" t="s">
        <v>63</v>
      </c>
      <c r="AB5" s="29" t="s">
        <v>65</v>
      </c>
      <c r="AC5" s="29" t="s">
        <v>67</v>
      </c>
      <c r="AD5" s="29" t="s">
        <v>69</v>
      </c>
      <c r="AE5" s="29" t="s">
        <v>71</v>
      </c>
      <c r="AF5" s="29" t="s">
        <v>73</v>
      </c>
      <c r="AG5" s="29" t="s">
        <v>75</v>
      </c>
      <c r="AH5" s="29" t="s">
        <v>77</v>
      </c>
      <c r="AI5" s="29" t="s">
        <v>79</v>
      </c>
      <c r="AJ5" s="29" t="s">
        <v>81</v>
      </c>
      <c r="AK5" s="29" t="s">
        <v>83</v>
      </c>
      <c r="AL5" s="29" t="s">
        <v>85</v>
      </c>
      <c r="AM5" s="29" t="s">
        <v>87</v>
      </c>
    </row>
    <row r="6">
      <c r="A6" s="30">
        <v>1.0</v>
      </c>
      <c r="B6" s="31"/>
      <c r="C6" s="32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3"/>
      <c r="Q6" s="31"/>
      <c r="R6" s="31"/>
      <c r="S6" s="31"/>
      <c r="T6" s="34"/>
      <c r="U6" s="31"/>
      <c r="V6" s="35"/>
      <c r="W6" s="36"/>
      <c r="X6" s="37"/>
      <c r="Y6" s="37">
        <f t="shared" ref="Y6:Y32" si="1">X6*G6</f>
        <v>0</v>
      </c>
      <c r="Z6" s="37"/>
      <c r="AA6" s="37">
        <f t="shared" ref="AA6:AA32" si="2">Z6*G6</f>
        <v>0</v>
      </c>
      <c r="AB6" s="37"/>
      <c r="AC6" s="37"/>
      <c r="AD6" s="37"/>
      <c r="AE6" s="37"/>
      <c r="AF6" s="37"/>
      <c r="AG6" s="37"/>
      <c r="AH6" s="37"/>
      <c r="AI6" s="37"/>
      <c r="AJ6" s="36"/>
      <c r="AK6" s="38"/>
      <c r="AL6" s="36"/>
      <c r="AM6" s="36"/>
    </row>
    <row r="7">
      <c r="A7" s="39">
        <f t="shared" ref="A7:A32" si="3">A6+1</f>
        <v>2</v>
      </c>
      <c r="B7" s="31"/>
      <c r="C7" s="32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3"/>
      <c r="Q7" s="31"/>
      <c r="R7" s="31"/>
      <c r="S7" s="31"/>
      <c r="T7" s="31"/>
      <c r="U7" s="34"/>
      <c r="V7" s="35"/>
      <c r="W7" s="36"/>
      <c r="X7" s="37"/>
      <c r="Y7" s="37">
        <f t="shared" si="1"/>
        <v>0</v>
      </c>
      <c r="Z7" s="37"/>
      <c r="AA7" s="37">
        <f t="shared" si="2"/>
        <v>0</v>
      </c>
      <c r="AB7" s="37"/>
      <c r="AC7" s="37"/>
      <c r="AD7" s="37"/>
      <c r="AE7" s="37"/>
      <c r="AF7" s="37"/>
      <c r="AG7" s="37"/>
      <c r="AH7" s="37"/>
      <c r="AI7" s="37"/>
      <c r="AJ7" s="36"/>
      <c r="AK7" s="36"/>
      <c r="AL7" s="36"/>
      <c r="AM7" s="36"/>
    </row>
    <row r="8">
      <c r="A8" s="39">
        <f t="shared" si="3"/>
        <v>3</v>
      </c>
      <c r="B8" s="31"/>
      <c r="C8" s="32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3"/>
      <c r="Q8" s="31"/>
      <c r="R8" s="31"/>
      <c r="S8" s="31"/>
      <c r="T8" s="31"/>
      <c r="U8" s="31"/>
      <c r="V8" s="35"/>
      <c r="W8" s="36"/>
      <c r="X8" s="37"/>
      <c r="Y8" s="37">
        <f t="shared" si="1"/>
        <v>0</v>
      </c>
      <c r="Z8" s="37"/>
      <c r="AA8" s="37">
        <f t="shared" si="2"/>
        <v>0</v>
      </c>
      <c r="AB8" s="37"/>
      <c r="AC8" s="37"/>
      <c r="AD8" s="37"/>
      <c r="AE8" s="37"/>
      <c r="AF8" s="37"/>
      <c r="AG8" s="37"/>
      <c r="AH8" s="37"/>
      <c r="AI8" s="37"/>
      <c r="AJ8" s="36"/>
      <c r="AK8" s="36"/>
      <c r="AL8" s="36"/>
      <c r="AM8" s="36"/>
    </row>
    <row r="9">
      <c r="A9" s="39">
        <f t="shared" si="3"/>
        <v>4</v>
      </c>
      <c r="B9" s="31"/>
      <c r="C9" s="4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3"/>
      <c r="Q9" s="31"/>
      <c r="R9" s="31"/>
      <c r="S9" s="31"/>
      <c r="T9" s="31"/>
      <c r="U9" s="31"/>
      <c r="V9" s="31"/>
      <c r="W9" s="36"/>
      <c r="X9" s="37"/>
      <c r="Y9" s="37">
        <f t="shared" si="1"/>
        <v>0</v>
      </c>
      <c r="Z9" s="37"/>
      <c r="AA9" s="37">
        <f t="shared" si="2"/>
        <v>0</v>
      </c>
      <c r="AB9" s="37"/>
      <c r="AC9" s="37"/>
      <c r="AD9" s="37"/>
      <c r="AE9" s="37"/>
      <c r="AF9" s="37"/>
      <c r="AG9" s="37"/>
      <c r="AH9" s="37"/>
      <c r="AI9" s="37"/>
      <c r="AJ9" s="36"/>
      <c r="AK9" s="36"/>
      <c r="AL9" s="36"/>
      <c r="AM9" s="36"/>
    </row>
    <row r="10">
      <c r="A10" s="39">
        <f t="shared" si="3"/>
        <v>5</v>
      </c>
      <c r="B10" s="31"/>
      <c r="C10" s="4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3"/>
      <c r="Q10" s="31"/>
      <c r="R10" s="31"/>
      <c r="S10" s="31"/>
      <c r="T10" s="31"/>
      <c r="U10" s="31"/>
      <c r="V10" s="31"/>
      <c r="W10" s="36"/>
      <c r="X10" s="37"/>
      <c r="Y10" s="37">
        <f t="shared" si="1"/>
        <v>0</v>
      </c>
      <c r="Z10" s="37"/>
      <c r="AA10" s="37">
        <f t="shared" si="2"/>
        <v>0</v>
      </c>
      <c r="AB10" s="37"/>
      <c r="AC10" s="37"/>
      <c r="AD10" s="37"/>
      <c r="AE10" s="37"/>
      <c r="AF10" s="37"/>
      <c r="AG10" s="37"/>
      <c r="AH10" s="37"/>
      <c r="AI10" s="37"/>
      <c r="AJ10" s="36"/>
      <c r="AK10" s="36"/>
      <c r="AL10" s="36"/>
      <c r="AM10" s="36"/>
    </row>
    <row r="11">
      <c r="A11" s="39">
        <f t="shared" si="3"/>
        <v>6</v>
      </c>
      <c r="B11" s="31"/>
      <c r="C11" s="4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3"/>
      <c r="Q11" s="31"/>
      <c r="R11" s="31"/>
      <c r="S11" s="31"/>
      <c r="T11" s="31"/>
      <c r="U11" s="31"/>
      <c r="V11" s="31"/>
      <c r="W11" s="36"/>
      <c r="X11" s="37"/>
      <c r="Y11" s="37">
        <f t="shared" si="1"/>
        <v>0</v>
      </c>
      <c r="Z11" s="37"/>
      <c r="AA11" s="37">
        <f t="shared" si="2"/>
        <v>0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8"/>
      <c r="AL11" s="36"/>
      <c r="AM11" s="36"/>
    </row>
    <row r="12">
      <c r="A12" s="39">
        <f t="shared" si="3"/>
        <v>7</v>
      </c>
      <c r="B12" s="31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3"/>
      <c r="Q12" s="31"/>
      <c r="R12" s="31"/>
      <c r="S12" s="31"/>
      <c r="T12" s="31"/>
      <c r="U12" s="31"/>
      <c r="V12" s="31"/>
      <c r="W12" s="37"/>
      <c r="X12" s="37"/>
      <c r="Y12" s="37">
        <f t="shared" si="1"/>
        <v>0</v>
      </c>
      <c r="Z12" s="37"/>
      <c r="AA12" s="37">
        <f t="shared" si="2"/>
        <v>0</v>
      </c>
      <c r="AB12" s="37"/>
      <c r="AC12" s="37"/>
      <c r="AD12" s="37"/>
      <c r="AE12" s="37"/>
      <c r="AF12" s="37"/>
      <c r="AG12" s="37"/>
      <c r="AH12" s="37"/>
      <c r="AI12" s="37"/>
      <c r="AJ12" s="37"/>
      <c r="AK12" s="36"/>
      <c r="AL12" s="36"/>
      <c r="AM12" s="36"/>
    </row>
    <row r="13">
      <c r="A13" s="39">
        <f t="shared" si="3"/>
        <v>8</v>
      </c>
      <c r="B13" s="31"/>
      <c r="C13" s="4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3"/>
      <c r="Q13" s="31"/>
      <c r="R13" s="31"/>
      <c r="S13" s="31"/>
      <c r="T13" s="31"/>
      <c r="U13" s="31"/>
      <c r="V13" s="31"/>
      <c r="W13" s="37"/>
      <c r="X13" s="37"/>
      <c r="Y13" s="37">
        <f t="shared" si="1"/>
        <v>0</v>
      </c>
      <c r="Z13" s="37"/>
      <c r="AA13" s="37">
        <f t="shared" si="2"/>
        <v>0</v>
      </c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6"/>
      <c r="AM13" s="37"/>
    </row>
    <row r="14">
      <c r="A14" s="39">
        <f t="shared" si="3"/>
        <v>9</v>
      </c>
      <c r="B14" s="31"/>
      <c r="C14" s="4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3"/>
      <c r="Q14" s="31"/>
      <c r="R14" s="31"/>
      <c r="S14" s="31"/>
      <c r="T14" s="31"/>
      <c r="U14" s="31"/>
      <c r="V14" s="31"/>
      <c r="W14" s="37"/>
      <c r="X14" s="37"/>
      <c r="Y14" s="37">
        <f t="shared" si="1"/>
        <v>0</v>
      </c>
      <c r="Z14" s="37"/>
      <c r="AA14" s="37">
        <f t="shared" si="2"/>
        <v>0</v>
      </c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6"/>
      <c r="AM14" s="37"/>
    </row>
    <row r="15">
      <c r="A15" s="39">
        <f t="shared" si="3"/>
        <v>10</v>
      </c>
      <c r="B15" s="31"/>
      <c r="C15" s="40"/>
      <c r="D15" s="31"/>
      <c r="E15" s="31"/>
      <c r="F15" s="34"/>
      <c r="G15" s="34"/>
      <c r="H15" s="31"/>
      <c r="I15" s="31"/>
      <c r="J15" s="31"/>
      <c r="K15" s="31"/>
      <c r="L15" s="31"/>
      <c r="M15" s="31"/>
      <c r="N15" s="31"/>
      <c r="O15" s="31"/>
      <c r="P15" s="33"/>
      <c r="Q15" s="31"/>
      <c r="R15" s="31"/>
      <c r="S15" s="31"/>
      <c r="T15" s="31"/>
      <c r="U15" s="31"/>
      <c r="V15" s="31"/>
      <c r="W15" s="37"/>
      <c r="X15" s="37"/>
      <c r="Y15" s="37">
        <f t="shared" si="1"/>
        <v>0</v>
      </c>
      <c r="Z15" s="37"/>
      <c r="AA15" s="37">
        <f t="shared" si="2"/>
        <v>0</v>
      </c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6"/>
      <c r="AM15" s="37"/>
    </row>
    <row r="16">
      <c r="A16" s="39">
        <f t="shared" si="3"/>
        <v>11</v>
      </c>
      <c r="B16" s="31"/>
      <c r="C16" s="40"/>
      <c r="D16" s="34"/>
      <c r="E16" s="34"/>
      <c r="F16" s="34"/>
      <c r="G16" s="34"/>
      <c r="H16" s="31"/>
      <c r="I16" s="31"/>
      <c r="J16" s="31"/>
      <c r="K16" s="31"/>
      <c r="L16" s="31"/>
      <c r="M16" s="31"/>
      <c r="N16" s="31"/>
      <c r="O16" s="31"/>
      <c r="P16" s="33"/>
      <c r="Q16" s="31"/>
      <c r="R16" s="31"/>
      <c r="S16" s="31"/>
      <c r="T16" s="31"/>
      <c r="U16" s="31"/>
      <c r="V16" s="31"/>
      <c r="W16" s="37"/>
      <c r="X16" s="37"/>
      <c r="Y16" s="37">
        <f t="shared" si="1"/>
        <v>0</v>
      </c>
      <c r="Z16" s="37"/>
      <c r="AA16" s="37">
        <f t="shared" si="2"/>
        <v>0</v>
      </c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6"/>
      <c r="AM16" s="37"/>
    </row>
    <row r="17">
      <c r="A17" s="39">
        <f t="shared" si="3"/>
        <v>12</v>
      </c>
      <c r="B17" s="31"/>
      <c r="C17" s="40"/>
      <c r="D17" s="34"/>
      <c r="E17" s="34"/>
      <c r="F17" s="34"/>
      <c r="G17" s="34"/>
      <c r="H17" s="31"/>
      <c r="I17" s="31"/>
      <c r="J17" s="31"/>
      <c r="K17" s="31"/>
      <c r="L17" s="31"/>
      <c r="M17" s="31"/>
      <c r="N17" s="31"/>
      <c r="O17" s="31"/>
      <c r="P17" s="33"/>
      <c r="Q17" s="31"/>
      <c r="R17" s="31"/>
      <c r="S17" s="31"/>
      <c r="T17" s="31"/>
      <c r="U17" s="31"/>
      <c r="V17" s="31"/>
      <c r="W17" s="37"/>
      <c r="X17" s="37"/>
      <c r="Y17" s="37">
        <f t="shared" si="1"/>
        <v>0</v>
      </c>
      <c r="Z17" s="37"/>
      <c r="AA17" s="37">
        <f t="shared" si="2"/>
        <v>0</v>
      </c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6"/>
      <c r="AM17" s="37"/>
    </row>
    <row r="18">
      <c r="A18" s="39">
        <f t="shared" si="3"/>
        <v>13</v>
      </c>
      <c r="B18" s="31"/>
      <c r="C18" s="40"/>
      <c r="D18" s="34"/>
      <c r="E18" s="34"/>
      <c r="F18" s="34"/>
      <c r="G18" s="34"/>
      <c r="H18" s="31"/>
      <c r="I18" s="31"/>
      <c r="J18" s="31"/>
      <c r="K18" s="31"/>
      <c r="L18" s="31"/>
      <c r="M18" s="31"/>
      <c r="N18" s="31"/>
      <c r="O18" s="31"/>
      <c r="P18" s="33"/>
      <c r="Q18" s="31"/>
      <c r="R18" s="31"/>
      <c r="S18" s="31"/>
      <c r="T18" s="31"/>
      <c r="U18" s="31"/>
      <c r="V18" s="31"/>
      <c r="W18" s="37"/>
      <c r="X18" s="37"/>
      <c r="Y18" s="37">
        <f t="shared" si="1"/>
        <v>0</v>
      </c>
      <c r="Z18" s="37"/>
      <c r="AA18" s="37">
        <f t="shared" si="2"/>
        <v>0</v>
      </c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6"/>
      <c r="AM18" s="37"/>
    </row>
    <row r="19">
      <c r="A19" s="39">
        <f t="shared" si="3"/>
        <v>14</v>
      </c>
      <c r="B19" s="31"/>
      <c r="C19" s="40"/>
      <c r="D19" s="31"/>
      <c r="E19" s="34"/>
      <c r="F19" s="34"/>
      <c r="G19" s="34"/>
      <c r="H19" s="31"/>
      <c r="I19" s="31"/>
      <c r="J19" s="31"/>
      <c r="K19" s="31"/>
      <c r="L19" s="31"/>
      <c r="M19" s="31"/>
      <c r="N19" s="31"/>
      <c r="O19" s="31"/>
      <c r="P19" s="33"/>
      <c r="Q19" s="31"/>
      <c r="R19" s="31"/>
      <c r="S19" s="31"/>
      <c r="T19" s="31"/>
      <c r="U19" s="31"/>
      <c r="V19" s="31"/>
      <c r="W19" s="37"/>
      <c r="X19" s="37"/>
      <c r="Y19" s="37">
        <f t="shared" si="1"/>
        <v>0</v>
      </c>
      <c r="Z19" s="37"/>
      <c r="AA19" s="37">
        <f t="shared" si="2"/>
        <v>0</v>
      </c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6"/>
      <c r="AM19" s="37"/>
    </row>
    <row r="20">
      <c r="A20" s="39">
        <f t="shared" si="3"/>
        <v>15</v>
      </c>
      <c r="B20" s="31"/>
      <c r="C20" s="40"/>
      <c r="D20" s="31"/>
      <c r="E20" s="34"/>
      <c r="F20" s="34"/>
      <c r="G20" s="34"/>
      <c r="H20" s="31"/>
      <c r="I20" s="31"/>
      <c r="J20" s="31"/>
      <c r="K20" s="31"/>
      <c r="L20" s="31"/>
      <c r="M20" s="31"/>
      <c r="N20" s="31"/>
      <c r="O20" s="31"/>
      <c r="P20" s="33"/>
      <c r="Q20" s="31"/>
      <c r="R20" s="31"/>
      <c r="S20" s="31"/>
      <c r="T20" s="31"/>
      <c r="U20" s="31"/>
      <c r="V20" s="31"/>
      <c r="W20" s="37"/>
      <c r="X20" s="37"/>
      <c r="Y20" s="37">
        <f t="shared" si="1"/>
        <v>0</v>
      </c>
      <c r="Z20" s="37"/>
      <c r="AA20" s="37">
        <f t="shared" si="2"/>
        <v>0</v>
      </c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6"/>
      <c r="AM20" s="37"/>
    </row>
    <row r="21">
      <c r="A21" s="39">
        <f t="shared" si="3"/>
        <v>16</v>
      </c>
      <c r="B21" s="31"/>
      <c r="C21" s="40"/>
      <c r="D21" s="31"/>
      <c r="E21" s="34"/>
      <c r="F21" s="34"/>
      <c r="G21" s="34"/>
      <c r="H21" s="31"/>
      <c r="I21" s="31"/>
      <c r="J21" s="31"/>
      <c r="K21" s="31"/>
      <c r="L21" s="31"/>
      <c r="M21" s="31"/>
      <c r="N21" s="31"/>
      <c r="O21" s="31"/>
      <c r="P21" s="33"/>
      <c r="Q21" s="31"/>
      <c r="R21" s="31"/>
      <c r="S21" s="31"/>
      <c r="T21" s="31"/>
      <c r="U21" s="31"/>
      <c r="V21" s="31"/>
      <c r="W21" s="37"/>
      <c r="X21" s="37"/>
      <c r="Y21" s="37">
        <f t="shared" si="1"/>
        <v>0</v>
      </c>
      <c r="Z21" s="37"/>
      <c r="AA21" s="37">
        <f t="shared" si="2"/>
        <v>0</v>
      </c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6"/>
      <c r="AM21" s="37"/>
    </row>
    <row r="22">
      <c r="A22" s="39">
        <f t="shared" si="3"/>
        <v>17</v>
      </c>
      <c r="B22" s="31"/>
      <c r="C22" s="40"/>
      <c r="D22" s="31"/>
      <c r="E22" s="34"/>
      <c r="F22" s="34"/>
      <c r="G22" s="34"/>
      <c r="H22" s="31"/>
      <c r="I22" s="31"/>
      <c r="J22" s="31"/>
      <c r="K22" s="31"/>
      <c r="L22" s="31"/>
      <c r="M22" s="31"/>
      <c r="N22" s="31"/>
      <c r="O22" s="31"/>
      <c r="P22" s="33"/>
      <c r="Q22" s="31"/>
      <c r="R22" s="31"/>
      <c r="S22" s="31"/>
      <c r="T22" s="31"/>
      <c r="U22" s="31"/>
      <c r="V22" s="31"/>
      <c r="W22" s="37"/>
      <c r="X22" s="37"/>
      <c r="Y22" s="37">
        <f t="shared" si="1"/>
        <v>0</v>
      </c>
      <c r="Z22" s="37"/>
      <c r="AA22" s="37">
        <f t="shared" si="2"/>
        <v>0</v>
      </c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6"/>
      <c r="AM22" s="37"/>
    </row>
    <row r="23">
      <c r="A23" s="39">
        <f t="shared" si="3"/>
        <v>18</v>
      </c>
      <c r="B23" s="31"/>
      <c r="C23" s="40"/>
      <c r="D23" s="31"/>
      <c r="E23" s="34"/>
      <c r="F23" s="34"/>
      <c r="G23" s="34"/>
      <c r="H23" s="31"/>
      <c r="I23" s="31"/>
      <c r="J23" s="31"/>
      <c r="K23" s="31"/>
      <c r="L23" s="31"/>
      <c r="M23" s="31"/>
      <c r="N23" s="31"/>
      <c r="O23" s="31"/>
      <c r="P23" s="33"/>
      <c r="Q23" s="31"/>
      <c r="R23" s="31"/>
      <c r="S23" s="31"/>
      <c r="T23" s="31"/>
      <c r="U23" s="31"/>
      <c r="V23" s="31"/>
      <c r="W23" s="37"/>
      <c r="X23" s="37"/>
      <c r="Y23" s="37">
        <f t="shared" si="1"/>
        <v>0</v>
      </c>
      <c r="Z23" s="37"/>
      <c r="AA23" s="37">
        <f t="shared" si="2"/>
        <v>0</v>
      </c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6"/>
      <c r="AM23" s="37"/>
    </row>
    <row r="24">
      <c r="A24" s="39">
        <f t="shared" si="3"/>
        <v>19</v>
      </c>
      <c r="B24" s="31"/>
      <c r="C24" s="40"/>
      <c r="D24" s="31"/>
      <c r="E24" s="34"/>
      <c r="F24" s="34"/>
      <c r="G24" s="34"/>
      <c r="H24" s="31"/>
      <c r="I24" s="31"/>
      <c r="J24" s="31"/>
      <c r="K24" s="31"/>
      <c r="L24" s="31"/>
      <c r="M24" s="31"/>
      <c r="N24" s="31"/>
      <c r="O24" s="31"/>
      <c r="P24" s="33"/>
      <c r="Q24" s="31"/>
      <c r="R24" s="31"/>
      <c r="S24" s="31"/>
      <c r="T24" s="31"/>
      <c r="U24" s="31"/>
      <c r="V24" s="31"/>
      <c r="W24" s="37"/>
      <c r="X24" s="37"/>
      <c r="Y24" s="37">
        <f t="shared" si="1"/>
        <v>0</v>
      </c>
      <c r="Z24" s="37"/>
      <c r="AA24" s="37">
        <f t="shared" si="2"/>
        <v>0</v>
      </c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6"/>
      <c r="AM24" s="37"/>
    </row>
    <row r="25">
      <c r="A25" s="41">
        <f t="shared" si="3"/>
        <v>20</v>
      </c>
      <c r="B25" s="31"/>
      <c r="C25" s="40"/>
      <c r="D25" s="31"/>
      <c r="E25" s="34"/>
      <c r="F25" s="34"/>
      <c r="G25" s="34"/>
      <c r="H25" s="31"/>
      <c r="I25" s="31"/>
      <c r="J25" s="31"/>
      <c r="K25" s="31"/>
      <c r="L25" s="31"/>
      <c r="M25" s="31"/>
      <c r="N25" s="31"/>
      <c r="O25" s="31"/>
      <c r="P25" s="34"/>
      <c r="Q25" s="31"/>
      <c r="R25" s="31"/>
      <c r="S25" s="31"/>
      <c r="T25" s="31"/>
      <c r="U25" s="31"/>
      <c r="V25" s="31"/>
      <c r="W25" s="37"/>
      <c r="X25" s="37"/>
      <c r="Y25" s="37">
        <f t="shared" si="1"/>
        <v>0</v>
      </c>
      <c r="Z25" s="37"/>
      <c r="AA25" s="37">
        <f t="shared" si="2"/>
        <v>0</v>
      </c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6"/>
      <c r="AM25" s="37"/>
    </row>
    <row r="26">
      <c r="A26" s="41">
        <f t="shared" si="3"/>
        <v>21</v>
      </c>
      <c r="B26" s="31"/>
      <c r="C26" s="40"/>
      <c r="D26" s="31"/>
      <c r="E26" s="34"/>
      <c r="F26" s="34"/>
      <c r="G26" s="34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7"/>
      <c r="X26" s="37"/>
      <c r="Y26" s="37">
        <f t="shared" si="1"/>
        <v>0</v>
      </c>
      <c r="Z26" s="37"/>
      <c r="AA26" s="37">
        <f t="shared" si="2"/>
        <v>0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6"/>
      <c r="AM26" s="37"/>
    </row>
    <row r="27">
      <c r="A27" s="41">
        <f t="shared" si="3"/>
        <v>22</v>
      </c>
      <c r="B27" s="31"/>
      <c r="C27" s="4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7"/>
      <c r="X27" s="37"/>
      <c r="Y27" s="37">
        <f t="shared" si="1"/>
        <v>0</v>
      </c>
      <c r="Z27" s="37"/>
      <c r="AA27" s="37">
        <f t="shared" si="2"/>
        <v>0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6"/>
      <c r="AM27" s="37"/>
    </row>
    <row r="28">
      <c r="A28" s="41">
        <f t="shared" si="3"/>
        <v>23</v>
      </c>
      <c r="B28" s="31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4"/>
      <c r="W28" s="37"/>
      <c r="X28" s="37"/>
      <c r="Y28" s="37">
        <f t="shared" si="1"/>
        <v>0</v>
      </c>
      <c r="Z28" s="37"/>
      <c r="AA28" s="37">
        <f t="shared" si="2"/>
        <v>0</v>
      </c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6"/>
      <c r="AM28" s="37"/>
    </row>
    <row r="29">
      <c r="A29" s="41">
        <f t="shared" si="3"/>
        <v>24</v>
      </c>
      <c r="B29" s="31"/>
      <c r="C29" s="4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4"/>
      <c r="W29" s="37"/>
      <c r="X29" s="37"/>
      <c r="Y29" s="37">
        <f t="shared" si="1"/>
        <v>0</v>
      </c>
      <c r="Z29" s="37"/>
      <c r="AA29" s="37">
        <f t="shared" si="2"/>
        <v>0</v>
      </c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6"/>
      <c r="AM29" s="37"/>
    </row>
    <row r="30">
      <c r="A30" s="41">
        <f t="shared" si="3"/>
        <v>25</v>
      </c>
      <c r="B30" s="31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4"/>
      <c r="W30" s="37"/>
      <c r="X30" s="37"/>
      <c r="Y30" s="37">
        <f t="shared" si="1"/>
        <v>0</v>
      </c>
      <c r="Z30" s="37"/>
      <c r="AA30" s="37">
        <f t="shared" si="2"/>
        <v>0</v>
      </c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6"/>
      <c r="AM30" s="37"/>
    </row>
    <row r="31">
      <c r="A31" s="41">
        <f t="shared" si="3"/>
        <v>26</v>
      </c>
      <c r="B31" s="31"/>
      <c r="C31" s="4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4"/>
      <c r="W31" s="37"/>
      <c r="X31" s="37"/>
      <c r="Y31" s="37">
        <f t="shared" si="1"/>
        <v>0</v>
      </c>
      <c r="Z31" s="37"/>
      <c r="AA31" s="37">
        <f t="shared" si="2"/>
        <v>0</v>
      </c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6"/>
      <c r="AM31" s="37"/>
    </row>
    <row r="32">
      <c r="A32" s="41">
        <f t="shared" si="3"/>
        <v>27</v>
      </c>
      <c r="B32" s="31"/>
      <c r="C32" s="4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4"/>
      <c r="W32" s="37"/>
      <c r="X32" s="37"/>
      <c r="Y32" s="37">
        <f t="shared" si="1"/>
        <v>0</v>
      </c>
      <c r="Z32" s="37"/>
      <c r="AA32" s="37">
        <f t="shared" si="2"/>
        <v>0</v>
      </c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6"/>
      <c r="AM32" s="37"/>
    </row>
    <row r="33">
      <c r="A33" s="41"/>
      <c r="B33" s="31"/>
      <c r="C33" s="4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4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6"/>
      <c r="AM33" s="37"/>
    </row>
    <row r="34">
      <c r="A34" s="41"/>
      <c r="B34" s="31"/>
      <c r="C34" s="4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4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6"/>
      <c r="AM34" s="37"/>
    </row>
    <row r="35">
      <c r="A35" s="41"/>
      <c r="B35" s="31"/>
      <c r="C35" s="4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4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6"/>
      <c r="AM35" s="37"/>
    </row>
    <row r="36">
      <c r="A36" s="41"/>
      <c r="B36" s="31"/>
      <c r="C36" s="4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4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6"/>
      <c r="AM36" s="37"/>
    </row>
    <row r="37">
      <c r="A37" s="41"/>
      <c r="B37" s="31"/>
      <c r="C37" s="4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4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6"/>
      <c r="AM37" s="37"/>
    </row>
    <row r="38">
      <c r="A38" s="41"/>
      <c r="B38" s="31"/>
      <c r="C38" s="4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4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6"/>
      <c r="AM38" s="37"/>
    </row>
    <row r="39">
      <c r="A39" s="41"/>
      <c r="B39" s="31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4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6"/>
      <c r="AM39" s="37"/>
    </row>
    <row r="40">
      <c r="A40" s="41"/>
      <c r="B40" s="31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4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6"/>
      <c r="AM40" s="37"/>
    </row>
    <row r="41">
      <c r="A41" s="41"/>
      <c r="B41" s="31"/>
      <c r="C41" s="4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4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6"/>
      <c r="AM41" s="37"/>
    </row>
    <row r="42">
      <c r="A42" s="41"/>
      <c r="B42" s="31"/>
      <c r="C42" s="4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4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6"/>
      <c r="AM42" s="37"/>
    </row>
    <row r="43">
      <c r="A43" s="41"/>
      <c r="B43" s="31"/>
      <c r="C43" s="4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4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6"/>
      <c r="AM43" s="37"/>
    </row>
    <row r="44">
      <c r="A44" s="41"/>
      <c r="B44" s="31"/>
      <c r="C44" s="4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4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6"/>
      <c r="AM44" s="37"/>
    </row>
    <row r="45">
      <c r="A45" s="41"/>
      <c r="B45" s="31"/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4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6"/>
      <c r="AM45" s="37"/>
    </row>
    <row r="46">
      <c r="A46" s="41"/>
      <c r="B46" s="31"/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4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6"/>
      <c r="AM46" s="37"/>
    </row>
    <row r="47">
      <c r="A47" s="41"/>
      <c r="B47" s="31"/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4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6"/>
      <c r="AM47" s="37"/>
    </row>
    <row r="48">
      <c r="A48" s="41"/>
      <c r="B48" s="31"/>
      <c r="C48" s="40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4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6"/>
      <c r="AM48" s="37"/>
    </row>
    <row r="49">
      <c r="A49" s="41"/>
      <c r="B49" s="31"/>
      <c r="C49" s="4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4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6"/>
      <c r="AM49" s="37"/>
    </row>
    <row r="50">
      <c r="A50" s="41"/>
      <c r="B50" s="31"/>
      <c r="C50" s="40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4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6"/>
      <c r="AM50" s="37"/>
    </row>
    <row r="51">
      <c r="A51" s="41"/>
      <c r="B51" s="31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4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6"/>
      <c r="AM51" s="37"/>
    </row>
    <row r="52">
      <c r="A52" s="41"/>
      <c r="B52" s="31"/>
      <c r="C52" s="4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4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6"/>
      <c r="AM52" s="37"/>
    </row>
    <row r="53">
      <c r="A53" s="41"/>
      <c r="B53" s="31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4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6"/>
      <c r="AM53" s="37"/>
    </row>
    <row r="54">
      <c r="A54" s="41"/>
      <c r="B54" s="31"/>
      <c r="C54" s="4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4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6"/>
      <c r="AM54" s="37"/>
    </row>
    <row r="55">
      <c r="A55" s="41"/>
      <c r="B55" s="31"/>
      <c r="C55" s="4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4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6"/>
      <c r="AM55" s="37"/>
    </row>
    <row r="56">
      <c r="A56" s="41"/>
      <c r="B56" s="31"/>
      <c r="C56" s="4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4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6"/>
      <c r="AM56" s="37"/>
    </row>
    <row r="57">
      <c r="A57" s="41"/>
      <c r="B57" s="31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4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6"/>
      <c r="AM57" s="37"/>
    </row>
    <row r="58">
      <c r="A58" s="41"/>
      <c r="B58" s="31"/>
      <c r="C58" s="4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4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6"/>
      <c r="AM58" s="37"/>
    </row>
    <row r="59">
      <c r="A59" s="41"/>
      <c r="B59" s="31"/>
      <c r="C59" s="4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4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6"/>
      <c r="AM59" s="37"/>
    </row>
    <row r="60">
      <c r="A60" s="41"/>
      <c r="B60" s="31"/>
      <c r="C60" s="4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4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6"/>
      <c r="AM60" s="37"/>
    </row>
    <row r="61">
      <c r="A61" s="41"/>
      <c r="B61" s="31"/>
      <c r="C61" s="4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4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6"/>
      <c r="AM61" s="37"/>
    </row>
    <row r="62">
      <c r="A62" s="41"/>
      <c r="B62" s="31"/>
      <c r="C62" s="4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4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6"/>
      <c r="AM62" s="37"/>
    </row>
    <row r="63">
      <c r="A63" s="41"/>
      <c r="B63" s="31"/>
      <c r="C63" s="4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4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6"/>
      <c r="AM63" s="37"/>
    </row>
    <row r="64">
      <c r="A64" s="41"/>
      <c r="B64" s="31"/>
      <c r="C64" s="40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4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6"/>
      <c r="AM64" s="37"/>
    </row>
    <row r="65">
      <c r="A65" s="41"/>
      <c r="B65" s="31"/>
      <c r="C65" s="40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4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6"/>
      <c r="AM65" s="37"/>
    </row>
    <row r="66">
      <c r="A66" s="41"/>
      <c r="B66" s="31"/>
      <c r="C66" s="40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4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6"/>
      <c r="AM66" s="37"/>
    </row>
    <row r="67">
      <c r="A67" s="41"/>
      <c r="B67" s="31"/>
      <c r="C67" s="40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4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6"/>
      <c r="AM67" s="37"/>
    </row>
    <row r="68">
      <c r="A68" s="41"/>
      <c r="B68" s="31"/>
      <c r="C68" s="40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4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6"/>
      <c r="AM68" s="37"/>
    </row>
    <row r="69">
      <c r="A69" s="41"/>
      <c r="B69" s="31"/>
      <c r="C69" s="40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4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6"/>
      <c r="AM69" s="37"/>
    </row>
    <row r="70">
      <c r="A70" s="41"/>
      <c r="B70" s="31"/>
      <c r="C70" s="40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4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6"/>
      <c r="AM70" s="37"/>
    </row>
    <row r="71">
      <c r="A71" s="41"/>
      <c r="B71" s="31"/>
      <c r="C71" s="40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4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6"/>
      <c r="AM71" s="37"/>
    </row>
    <row r="72">
      <c r="A72" s="41"/>
      <c r="B72" s="31"/>
      <c r="C72" s="40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4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6"/>
      <c r="AM72" s="37"/>
    </row>
    <row r="73">
      <c r="A73" s="41"/>
      <c r="B73" s="31"/>
      <c r="C73" s="40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4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6"/>
      <c r="AM73" s="37"/>
    </row>
    <row r="74">
      <c r="A74" s="41"/>
      <c r="B74" s="31"/>
      <c r="C74" s="40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4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6"/>
      <c r="AM74" s="37"/>
    </row>
    <row r="75">
      <c r="A75" s="41"/>
      <c r="B75" s="31"/>
      <c r="C75" s="40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4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6"/>
      <c r="AM75" s="37"/>
    </row>
    <row r="76">
      <c r="A76" s="41"/>
      <c r="B76" s="31"/>
      <c r="C76" s="40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4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6"/>
      <c r="AM76" s="37"/>
    </row>
    <row r="77">
      <c r="A77" s="41"/>
      <c r="B77" s="31"/>
      <c r="C77" s="40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4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6"/>
      <c r="AM77" s="37"/>
    </row>
    <row r="78">
      <c r="A78" s="41"/>
      <c r="B78" s="31"/>
      <c r="C78" s="40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4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6"/>
      <c r="AM78" s="37"/>
    </row>
    <row r="79">
      <c r="A79" s="41"/>
      <c r="B79" s="31"/>
      <c r="C79" s="40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4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6"/>
      <c r="AM79" s="37"/>
    </row>
    <row r="80">
      <c r="A80" s="41"/>
      <c r="B80" s="31"/>
      <c r="C80" s="40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4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6"/>
      <c r="AM80" s="37"/>
    </row>
    <row r="81">
      <c r="A81" s="41"/>
      <c r="B81" s="31"/>
      <c r="C81" s="40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4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6"/>
      <c r="AM81" s="37"/>
    </row>
    <row r="82">
      <c r="A82" s="41"/>
      <c r="B82" s="31"/>
      <c r="C82" s="40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4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6"/>
      <c r="AM82" s="37"/>
    </row>
    <row r="83">
      <c r="A83" s="41"/>
      <c r="B83" s="31"/>
      <c r="C83" s="40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4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6"/>
      <c r="AM83" s="37"/>
    </row>
    <row r="84">
      <c r="A84" s="41"/>
      <c r="B84" s="31"/>
      <c r="C84" s="40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4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6"/>
      <c r="AM84" s="37"/>
    </row>
    <row r="85">
      <c r="A85" s="41"/>
      <c r="B85" s="31"/>
      <c r="C85" s="40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4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6"/>
      <c r="AM85" s="37"/>
    </row>
    <row r="86">
      <c r="A86" s="41"/>
      <c r="B86" s="31"/>
      <c r="C86" s="40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4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6"/>
      <c r="AM86" s="37"/>
    </row>
    <row r="87">
      <c r="A87" s="41"/>
      <c r="B87" s="31"/>
      <c r="C87" s="40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4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6"/>
      <c r="AM87" s="37"/>
    </row>
    <row r="88">
      <c r="A88" s="41"/>
      <c r="B88" s="31"/>
      <c r="C88" s="40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4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6"/>
      <c r="AM88" s="37"/>
    </row>
    <row r="89">
      <c r="A89" s="41"/>
      <c r="B89" s="31"/>
      <c r="C89" s="40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4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6"/>
      <c r="AM89" s="37"/>
    </row>
    <row r="90">
      <c r="A90" s="41"/>
      <c r="B90" s="31"/>
      <c r="C90" s="40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4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6"/>
      <c r="AM90" s="37"/>
    </row>
    <row r="91">
      <c r="A91" s="41"/>
      <c r="B91" s="31"/>
      <c r="C91" s="40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4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6"/>
      <c r="AM91" s="37"/>
    </row>
    <row r="92">
      <c r="A92" s="41"/>
      <c r="B92" s="31"/>
      <c r="C92" s="40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4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6"/>
      <c r="AM92" s="37"/>
    </row>
    <row r="93">
      <c r="A93" s="41"/>
      <c r="B93" s="31"/>
      <c r="C93" s="40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4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6"/>
      <c r="AM93" s="37"/>
    </row>
    <row r="94">
      <c r="A94" s="41"/>
      <c r="B94" s="31"/>
      <c r="C94" s="40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4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6"/>
      <c r="AM94" s="37"/>
    </row>
    <row r="95">
      <c r="A95" s="41"/>
      <c r="B95" s="31"/>
      <c r="C95" s="40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4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6"/>
      <c r="AM95" s="37"/>
    </row>
    <row r="96">
      <c r="A96" s="41"/>
      <c r="B96" s="31"/>
      <c r="C96" s="40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4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6"/>
      <c r="AM96" s="37"/>
    </row>
    <row r="97">
      <c r="A97" s="41"/>
      <c r="B97" s="31"/>
      <c r="C97" s="40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4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6"/>
      <c r="AM97" s="37"/>
    </row>
    <row r="98">
      <c r="A98" s="41"/>
      <c r="B98" s="31"/>
      <c r="C98" s="40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4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6"/>
      <c r="AM98" s="37"/>
    </row>
    <row r="99">
      <c r="A99" s="41"/>
      <c r="B99" s="31"/>
      <c r="C99" s="40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4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6"/>
      <c r="AM99" s="37"/>
    </row>
    <row r="100">
      <c r="A100" s="41"/>
      <c r="B100" s="31"/>
      <c r="C100" s="40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4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6"/>
      <c r="AM100" s="37"/>
    </row>
    <row r="101">
      <c r="A101" s="41"/>
      <c r="B101" s="31"/>
      <c r="C101" s="40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4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6"/>
      <c r="AM101" s="37"/>
    </row>
    <row r="102">
      <c r="A102" s="41"/>
      <c r="B102" s="31"/>
      <c r="C102" s="40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4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6"/>
      <c r="AM102" s="37"/>
    </row>
    <row r="103">
      <c r="A103" s="41"/>
      <c r="B103" s="31"/>
      <c r="C103" s="40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4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6"/>
      <c r="AM103" s="37"/>
    </row>
    <row r="104">
      <c r="A104" s="41"/>
      <c r="B104" s="31"/>
      <c r="C104" s="40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4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6"/>
      <c r="AM104" s="37"/>
    </row>
    <row r="105">
      <c r="A105" s="41"/>
      <c r="B105" s="31"/>
      <c r="C105" s="40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4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6"/>
      <c r="AM105" s="37"/>
    </row>
    <row r="106">
      <c r="A106" s="41"/>
      <c r="B106" s="31"/>
      <c r="C106" s="40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4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6"/>
      <c r="AM106" s="37"/>
    </row>
    <row r="107">
      <c r="A107" s="41"/>
      <c r="B107" s="31"/>
      <c r="C107" s="40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4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6"/>
      <c r="AM107" s="37"/>
    </row>
    <row r="108">
      <c r="A108" s="41"/>
      <c r="B108" s="31"/>
      <c r="C108" s="40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4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6"/>
      <c r="AM108" s="37"/>
    </row>
    <row r="109">
      <c r="A109" s="41"/>
      <c r="B109" s="31"/>
      <c r="C109" s="40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4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6"/>
      <c r="AM109" s="37"/>
    </row>
    <row r="110">
      <c r="A110" s="41"/>
      <c r="B110" s="31"/>
      <c r="C110" s="40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4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6"/>
      <c r="AM110" s="37"/>
    </row>
    <row r="111">
      <c r="A111" s="41"/>
      <c r="B111" s="31"/>
      <c r="C111" s="40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4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6"/>
      <c r="AM111" s="37"/>
    </row>
    <row r="112">
      <c r="A112" s="41"/>
      <c r="B112" s="31"/>
      <c r="C112" s="40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4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6"/>
      <c r="AM112" s="37"/>
    </row>
    <row r="113">
      <c r="A113" s="41"/>
      <c r="B113" s="31"/>
      <c r="C113" s="40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4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6"/>
      <c r="AM113" s="37"/>
    </row>
    <row r="114">
      <c r="A114" s="41"/>
      <c r="B114" s="31"/>
      <c r="C114" s="40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4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6"/>
      <c r="AM114" s="37"/>
    </row>
    <row r="115">
      <c r="A115" s="41"/>
      <c r="B115" s="31"/>
      <c r="C115" s="40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4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6"/>
      <c r="AM115" s="37"/>
    </row>
    <row r="116">
      <c r="A116" s="41"/>
      <c r="B116" s="31"/>
      <c r="C116" s="40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4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6"/>
      <c r="AM116" s="37"/>
    </row>
    <row r="117">
      <c r="A117" s="41"/>
      <c r="B117" s="31"/>
      <c r="C117" s="40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4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6"/>
      <c r="AM117" s="37"/>
    </row>
    <row r="118">
      <c r="A118" s="41"/>
      <c r="B118" s="31"/>
      <c r="C118" s="40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4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6"/>
      <c r="AM118" s="37"/>
    </row>
    <row r="119">
      <c r="A119" s="41"/>
      <c r="B119" s="31"/>
      <c r="C119" s="40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4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6"/>
      <c r="AM119" s="37"/>
    </row>
    <row r="120">
      <c r="A120" s="41"/>
      <c r="B120" s="31"/>
      <c r="C120" s="40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4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6"/>
      <c r="AM120" s="37"/>
    </row>
    <row r="121">
      <c r="A121" s="41"/>
      <c r="B121" s="31"/>
      <c r="C121" s="40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4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6"/>
      <c r="AM121" s="37"/>
    </row>
    <row r="122">
      <c r="A122" s="41"/>
      <c r="B122" s="31"/>
      <c r="C122" s="40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4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6"/>
      <c r="AM122" s="37"/>
    </row>
    <row r="123">
      <c r="A123" s="41"/>
      <c r="B123" s="31"/>
      <c r="C123" s="40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4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6"/>
      <c r="AM123" s="37"/>
    </row>
    <row r="124">
      <c r="A124" s="41"/>
      <c r="B124" s="31"/>
      <c r="C124" s="40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4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6"/>
      <c r="AM124" s="37"/>
    </row>
    <row r="125">
      <c r="A125" s="41"/>
      <c r="B125" s="31"/>
      <c r="C125" s="40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4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6"/>
      <c r="AM125" s="37"/>
    </row>
    <row r="126">
      <c r="A126" s="41"/>
      <c r="B126" s="31"/>
      <c r="C126" s="40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4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6"/>
      <c r="AM126" s="37"/>
    </row>
    <row r="127">
      <c r="A127" s="41"/>
      <c r="B127" s="31"/>
      <c r="C127" s="40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4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6"/>
      <c r="AM127" s="37"/>
    </row>
    <row r="128">
      <c r="A128" s="41"/>
      <c r="B128" s="31"/>
      <c r="C128" s="40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4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6"/>
      <c r="AM128" s="37"/>
    </row>
    <row r="129">
      <c r="A129" s="41"/>
      <c r="B129" s="31"/>
      <c r="C129" s="40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4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6"/>
      <c r="AM129" s="37"/>
    </row>
    <row r="130">
      <c r="A130" s="41"/>
      <c r="B130" s="31"/>
      <c r="C130" s="40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4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6"/>
      <c r="AM130" s="37"/>
    </row>
    <row r="131">
      <c r="A131" s="41"/>
      <c r="B131" s="31"/>
      <c r="C131" s="40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4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6"/>
      <c r="AM131" s="37"/>
    </row>
    <row r="132">
      <c r="A132" s="41"/>
      <c r="B132" s="31"/>
      <c r="C132" s="40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4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6"/>
      <c r="AM132" s="37"/>
    </row>
    <row r="133">
      <c r="A133" s="41"/>
      <c r="B133" s="31"/>
      <c r="C133" s="40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4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6"/>
      <c r="AM133" s="37"/>
    </row>
    <row r="134">
      <c r="A134" s="41"/>
      <c r="B134" s="31"/>
      <c r="C134" s="40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4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6"/>
      <c r="AM134" s="37"/>
    </row>
    <row r="135">
      <c r="A135" s="41"/>
      <c r="B135" s="31"/>
      <c r="C135" s="40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4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6"/>
      <c r="AM135" s="37"/>
    </row>
    <row r="136">
      <c r="A136" s="41"/>
      <c r="B136" s="31"/>
      <c r="C136" s="40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4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6"/>
      <c r="AM136" s="37"/>
    </row>
    <row r="137">
      <c r="A137" s="41"/>
      <c r="B137" s="31"/>
      <c r="C137" s="40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4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6"/>
      <c r="AM137" s="37"/>
    </row>
    <row r="138">
      <c r="A138" s="41"/>
      <c r="B138" s="31"/>
      <c r="C138" s="40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4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6"/>
      <c r="AM138" s="37"/>
    </row>
    <row r="139">
      <c r="A139" s="41"/>
      <c r="B139" s="31"/>
      <c r="C139" s="40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4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6"/>
      <c r="AM139" s="37"/>
    </row>
    <row r="140">
      <c r="A140" s="41"/>
      <c r="B140" s="31"/>
      <c r="C140" s="40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4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6"/>
      <c r="AM140" s="37"/>
    </row>
    <row r="141">
      <c r="A141" s="41"/>
      <c r="B141" s="31"/>
      <c r="C141" s="40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4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6"/>
      <c r="AM141" s="37"/>
    </row>
    <row r="142">
      <c r="A142" s="41"/>
      <c r="B142" s="31"/>
      <c r="C142" s="40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4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6"/>
      <c r="AM142" s="37"/>
    </row>
    <row r="143">
      <c r="A143" s="41"/>
      <c r="B143" s="31"/>
      <c r="C143" s="40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4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6"/>
      <c r="AM143" s="37"/>
    </row>
    <row r="144">
      <c r="A144" s="41"/>
      <c r="B144" s="31"/>
      <c r="C144" s="40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4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6"/>
      <c r="AM144" s="37"/>
    </row>
    <row r="145">
      <c r="A145" s="41"/>
      <c r="B145" s="31"/>
      <c r="C145" s="40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4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6"/>
      <c r="AM145" s="37"/>
    </row>
    <row r="146">
      <c r="A146" s="41"/>
      <c r="B146" s="31"/>
      <c r="C146" s="40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4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6"/>
      <c r="AM146" s="37"/>
    </row>
    <row r="147">
      <c r="A147" s="41"/>
      <c r="B147" s="31"/>
      <c r="C147" s="40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4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6"/>
      <c r="AM147" s="37"/>
    </row>
    <row r="148">
      <c r="A148" s="41"/>
      <c r="B148" s="31"/>
      <c r="C148" s="40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4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6"/>
      <c r="AM148" s="37"/>
    </row>
    <row r="149">
      <c r="A149" s="41"/>
      <c r="B149" s="31"/>
      <c r="C149" s="40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4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6"/>
      <c r="AM149" s="37"/>
    </row>
    <row r="150">
      <c r="A150" s="41"/>
      <c r="B150" s="31"/>
      <c r="C150" s="40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4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6"/>
      <c r="AM150" s="37"/>
    </row>
    <row r="151">
      <c r="A151" s="41"/>
      <c r="B151" s="31"/>
      <c r="C151" s="40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4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6"/>
      <c r="AM151" s="37"/>
    </row>
    <row r="152">
      <c r="A152" s="41"/>
      <c r="B152" s="31"/>
      <c r="C152" s="40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4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6"/>
      <c r="AM152" s="37"/>
    </row>
    <row r="153">
      <c r="A153" s="41"/>
      <c r="B153" s="31"/>
      <c r="C153" s="40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4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6"/>
      <c r="AM153" s="37"/>
    </row>
    <row r="154">
      <c r="A154" s="41"/>
      <c r="B154" s="31"/>
      <c r="C154" s="40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4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6"/>
      <c r="AM154" s="37"/>
    </row>
    <row r="155">
      <c r="A155" s="41"/>
      <c r="B155" s="31"/>
      <c r="C155" s="40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4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6"/>
      <c r="AM155" s="37"/>
    </row>
    <row r="156">
      <c r="A156" s="41"/>
      <c r="B156" s="31"/>
      <c r="C156" s="40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4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6"/>
      <c r="AM156" s="37"/>
    </row>
    <row r="157">
      <c r="A157" s="41"/>
      <c r="B157" s="31"/>
      <c r="C157" s="40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4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6"/>
      <c r="AM157" s="37"/>
    </row>
    <row r="158">
      <c r="A158" s="41"/>
      <c r="B158" s="31"/>
      <c r="C158" s="40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4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6"/>
      <c r="AM158" s="37"/>
    </row>
    <row r="159">
      <c r="A159" s="41"/>
      <c r="B159" s="31"/>
      <c r="C159" s="40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4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6"/>
      <c r="AM159" s="37"/>
    </row>
    <row r="160">
      <c r="A160" s="41"/>
      <c r="B160" s="31"/>
      <c r="C160" s="40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4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6"/>
      <c r="AM160" s="37"/>
    </row>
    <row r="161">
      <c r="A161" s="41"/>
      <c r="B161" s="31"/>
      <c r="C161" s="40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4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6"/>
      <c r="AM161" s="37"/>
    </row>
    <row r="162">
      <c r="A162" s="41"/>
      <c r="B162" s="31"/>
      <c r="C162" s="40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4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6"/>
      <c r="AM162" s="37"/>
    </row>
    <row r="163">
      <c r="A163" s="41"/>
      <c r="B163" s="31"/>
      <c r="C163" s="40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4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6"/>
      <c r="AM163" s="37"/>
    </row>
    <row r="164">
      <c r="A164" s="41"/>
      <c r="B164" s="31"/>
      <c r="C164" s="40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4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6"/>
      <c r="AM164" s="37"/>
    </row>
    <row r="165">
      <c r="A165" s="41"/>
      <c r="B165" s="31"/>
      <c r="C165" s="40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4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6"/>
      <c r="AM165" s="37"/>
    </row>
    <row r="166">
      <c r="A166" s="41"/>
      <c r="B166" s="31"/>
      <c r="C166" s="40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4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6"/>
      <c r="AM166" s="37"/>
    </row>
    <row r="167">
      <c r="A167" s="41"/>
      <c r="B167" s="31"/>
      <c r="C167" s="40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4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6"/>
      <c r="AM167" s="37"/>
    </row>
    <row r="168">
      <c r="A168" s="41"/>
      <c r="B168" s="31"/>
      <c r="C168" s="40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4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6"/>
      <c r="AM168" s="37"/>
    </row>
    <row r="169">
      <c r="A169" s="41"/>
      <c r="B169" s="31"/>
      <c r="C169" s="40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4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6"/>
      <c r="AM169" s="37"/>
    </row>
    <row r="170">
      <c r="A170" s="41"/>
      <c r="B170" s="31"/>
      <c r="C170" s="40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4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6"/>
      <c r="AM170" s="37"/>
    </row>
    <row r="171">
      <c r="A171" s="41"/>
      <c r="B171" s="31"/>
      <c r="C171" s="40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4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6"/>
      <c r="AM171" s="37"/>
    </row>
    <row r="172">
      <c r="A172" s="41"/>
      <c r="B172" s="31"/>
      <c r="C172" s="40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4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6"/>
      <c r="AM172" s="37"/>
    </row>
    <row r="173">
      <c r="A173" s="41"/>
      <c r="B173" s="31"/>
      <c r="C173" s="40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4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6"/>
      <c r="AM173" s="37"/>
    </row>
    <row r="174">
      <c r="A174" s="41"/>
      <c r="B174" s="31"/>
      <c r="C174" s="40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4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6"/>
      <c r="AM174" s="37"/>
    </row>
    <row r="175">
      <c r="A175" s="41"/>
      <c r="B175" s="31"/>
      <c r="C175" s="40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4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6"/>
      <c r="AM175" s="37"/>
    </row>
    <row r="176">
      <c r="A176" s="41"/>
      <c r="B176" s="31"/>
      <c r="C176" s="40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4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6"/>
      <c r="AM176" s="37"/>
    </row>
    <row r="177">
      <c r="A177" s="41"/>
      <c r="B177" s="31"/>
      <c r="C177" s="40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4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6"/>
      <c r="AM177" s="37"/>
    </row>
    <row r="178">
      <c r="A178" s="41"/>
      <c r="B178" s="31"/>
      <c r="C178" s="40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4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6"/>
      <c r="AM178" s="37"/>
    </row>
    <row r="179">
      <c r="A179" s="41"/>
      <c r="B179" s="31"/>
      <c r="C179" s="40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4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6"/>
      <c r="AM179" s="37"/>
    </row>
    <row r="180">
      <c r="A180" s="41"/>
      <c r="B180" s="31"/>
      <c r="C180" s="40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4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6"/>
      <c r="AM180" s="37"/>
    </row>
    <row r="181">
      <c r="A181" s="41"/>
      <c r="B181" s="31"/>
      <c r="C181" s="40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4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6"/>
      <c r="AM181" s="37"/>
    </row>
    <row r="182">
      <c r="A182" s="41"/>
      <c r="B182" s="31"/>
      <c r="C182" s="40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4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6"/>
      <c r="AM182" s="37"/>
    </row>
    <row r="183">
      <c r="A183" s="41"/>
      <c r="B183" s="31"/>
      <c r="C183" s="40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4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6"/>
      <c r="AM183" s="37"/>
    </row>
    <row r="184">
      <c r="A184" s="41"/>
      <c r="B184" s="31"/>
      <c r="C184" s="40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4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6"/>
      <c r="AM184" s="37"/>
    </row>
    <row r="185">
      <c r="A185" s="41"/>
      <c r="B185" s="31"/>
      <c r="C185" s="40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4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6"/>
      <c r="AM185" s="37"/>
    </row>
    <row r="186">
      <c r="A186" s="41"/>
      <c r="B186" s="31"/>
      <c r="C186" s="40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4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6"/>
      <c r="AM186" s="37"/>
    </row>
    <row r="187">
      <c r="A187" s="41"/>
      <c r="B187" s="31"/>
      <c r="C187" s="40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4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6"/>
      <c r="AM187" s="37"/>
    </row>
    <row r="188">
      <c r="A188" s="41"/>
      <c r="B188" s="31"/>
      <c r="C188" s="40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4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6"/>
      <c r="AM188" s="37"/>
    </row>
    <row r="189">
      <c r="A189" s="41"/>
      <c r="B189" s="31"/>
      <c r="C189" s="40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4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6"/>
      <c r="AM189" s="37"/>
    </row>
    <row r="190">
      <c r="A190" s="41"/>
      <c r="B190" s="31"/>
      <c r="C190" s="40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4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6"/>
      <c r="AM190" s="37"/>
    </row>
    <row r="191">
      <c r="A191" s="41"/>
      <c r="B191" s="31"/>
      <c r="C191" s="40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4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6"/>
      <c r="AM191" s="37"/>
    </row>
    <row r="192">
      <c r="A192" s="41"/>
      <c r="B192" s="31"/>
      <c r="C192" s="40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4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6"/>
      <c r="AM192" s="37"/>
    </row>
    <row r="193">
      <c r="A193" s="41"/>
      <c r="B193" s="31"/>
      <c r="C193" s="40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4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6"/>
      <c r="AM193" s="37"/>
    </row>
    <row r="194">
      <c r="A194" s="41"/>
      <c r="B194" s="31"/>
      <c r="C194" s="40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4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6"/>
      <c r="AM194" s="37"/>
    </row>
    <row r="195">
      <c r="A195" s="41"/>
      <c r="B195" s="31"/>
      <c r="C195" s="40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4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6"/>
      <c r="AM195" s="37"/>
    </row>
    <row r="196">
      <c r="A196" s="41"/>
      <c r="B196" s="31"/>
      <c r="C196" s="40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4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6"/>
      <c r="AM196" s="37"/>
    </row>
    <row r="197">
      <c r="A197" s="41"/>
      <c r="B197" s="31"/>
      <c r="C197" s="40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4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6"/>
      <c r="AM197" s="37"/>
    </row>
    <row r="198">
      <c r="A198" s="41"/>
      <c r="B198" s="31"/>
      <c r="C198" s="40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4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6"/>
      <c r="AM198" s="37"/>
    </row>
    <row r="199">
      <c r="A199" s="41"/>
      <c r="B199" s="31"/>
      <c r="C199" s="40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4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6"/>
      <c r="AM199" s="37"/>
    </row>
    <row r="200">
      <c r="A200" s="41"/>
      <c r="B200" s="31"/>
      <c r="C200" s="40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4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6"/>
      <c r="AM200" s="37"/>
    </row>
    <row r="201">
      <c r="A201" s="41"/>
      <c r="B201" s="31"/>
      <c r="C201" s="40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4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6"/>
      <c r="AM201" s="37"/>
    </row>
    <row r="202">
      <c r="A202" s="41"/>
      <c r="B202" s="31"/>
      <c r="C202" s="40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4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6"/>
      <c r="AM202" s="37"/>
    </row>
    <row r="203">
      <c r="A203" s="41"/>
      <c r="B203" s="31"/>
      <c r="C203" s="40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4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6"/>
      <c r="AM203" s="37"/>
    </row>
    <row r="204">
      <c r="A204" s="41"/>
      <c r="B204" s="31"/>
      <c r="C204" s="40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4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6"/>
      <c r="AM204" s="37"/>
    </row>
    <row r="205">
      <c r="A205" s="41"/>
      <c r="B205" s="31"/>
      <c r="C205" s="40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4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6"/>
      <c r="AM205" s="37"/>
    </row>
    <row r="206">
      <c r="A206" s="41"/>
      <c r="B206" s="31"/>
      <c r="C206" s="40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4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6"/>
      <c r="AM206" s="37"/>
    </row>
    <row r="207">
      <c r="A207" s="41"/>
      <c r="B207" s="31"/>
      <c r="C207" s="40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4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6"/>
      <c r="AM207" s="37"/>
    </row>
    <row r="208">
      <c r="A208" s="41"/>
      <c r="B208" s="31"/>
      <c r="C208" s="40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4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6"/>
      <c r="AM208" s="37"/>
    </row>
    <row r="209">
      <c r="A209" s="41"/>
      <c r="B209" s="31"/>
      <c r="C209" s="40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4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6"/>
      <c r="AM209" s="37"/>
    </row>
    <row r="210">
      <c r="A210" s="41"/>
      <c r="B210" s="31"/>
      <c r="C210" s="40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4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6"/>
      <c r="AM210" s="37"/>
    </row>
    <row r="211">
      <c r="A211" s="41"/>
      <c r="B211" s="31"/>
      <c r="C211" s="40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4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6"/>
      <c r="AM211" s="37"/>
    </row>
    <row r="212">
      <c r="A212" s="41"/>
      <c r="B212" s="31"/>
      <c r="C212" s="40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4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6"/>
      <c r="AM212" s="37"/>
    </row>
    <row r="213">
      <c r="A213" s="41"/>
      <c r="B213" s="31"/>
      <c r="C213" s="40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4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6"/>
      <c r="AM213" s="37"/>
    </row>
    <row r="214">
      <c r="A214" s="41"/>
      <c r="B214" s="31"/>
      <c r="C214" s="40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4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6"/>
      <c r="AM214" s="37"/>
    </row>
    <row r="215">
      <c r="A215" s="41"/>
      <c r="B215" s="31"/>
      <c r="C215" s="40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4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6"/>
      <c r="AM215" s="37"/>
    </row>
    <row r="216">
      <c r="A216" s="41"/>
      <c r="B216" s="31"/>
      <c r="C216" s="40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4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6"/>
      <c r="AM216" s="37"/>
    </row>
    <row r="217">
      <c r="A217" s="41"/>
      <c r="B217" s="31"/>
      <c r="C217" s="40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4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6"/>
      <c r="AM217" s="37"/>
    </row>
    <row r="218">
      <c r="A218" s="41"/>
      <c r="B218" s="31"/>
      <c r="C218" s="40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4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6"/>
      <c r="AM218" s="37"/>
    </row>
    <row r="219">
      <c r="A219" s="41"/>
      <c r="B219" s="31"/>
      <c r="C219" s="40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4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6"/>
      <c r="AM219" s="37"/>
    </row>
    <row r="220">
      <c r="A220" s="41"/>
      <c r="B220" s="31"/>
      <c r="C220" s="40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4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6"/>
      <c r="AM220" s="37"/>
    </row>
    <row r="221">
      <c r="A221" s="41"/>
      <c r="B221" s="31"/>
      <c r="C221" s="4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4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6"/>
      <c r="AM221" s="37"/>
    </row>
    <row r="222">
      <c r="A222" s="41"/>
      <c r="B222" s="31"/>
      <c r="C222" s="4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4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6"/>
      <c r="AM222" s="37"/>
    </row>
    <row r="223">
      <c r="A223" s="41"/>
      <c r="B223" s="31"/>
      <c r="C223" s="40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4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6"/>
      <c r="AM223" s="37"/>
    </row>
    <row r="224">
      <c r="A224" s="41"/>
      <c r="B224" s="31"/>
      <c r="C224" s="40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4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6"/>
      <c r="AM224" s="37"/>
    </row>
    <row r="225">
      <c r="A225" s="41"/>
      <c r="B225" s="31"/>
      <c r="C225" s="40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4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6"/>
      <c r="AM225" s="37"/>
    </row>
    <row r="226">
      <c r="A226" s="41"/>
      <c r="B226" s="31"/>
      <c r="C226" s="40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4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6"/>
      <c r="AM226" s="37"/>
    </row>
    <row r="227">
      <c r="A227" s="41"/>
      <c r="B227" s="31"/>
      <c r="C227" s="40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4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6"/>
      <c r="AM227" s="37"/>
    </row>
    <row r="228">
      <c r="A228" s="41"/>
      <c r="B228" s="31"/>
      <c r="C228" s="40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4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6"/>
      <c r="AM228" s="37"/>
    </row>
    <row r="229">
      <c r="A229" s="41"/>
      <c r="B229" s="31"/>
      <c r="C229" s="40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4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6"/>
      <c r="AM229" s="37"/>
    </row>
    <row r="230">
      <c r="A230" s="41"/>
      <c r="B230" s="31"/>
      <c r="C230" s="40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4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6"/>
      <c r="AM230" s="37"/>
    </row>
    <row r="231">
      <c r="A231" s="41"/>
      <c r="B231" s="31"/>
      <c r="C231" s="40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4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6"/>
      <c r="AM231" s="37"/>
    </row>
    <row r="232">
      <c r="A232" s="41"/>
      <c r="B232" s="31"/>
      <c r="C232" s="40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4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6"/>
      <c r="AM232" s="37"/>
    </row>
    <row r="233">
      <c r="A233" s="41"/>
      <c r="B233" s="31"/>
      <c r="C233" s="40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4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6"/>
      <c r="AM233" s="37"/>
    </row>
    <row r="234">
      <c r="A234" s="41"/>
      <c r="B234" s="31"/>
      <c r="C234" s="40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4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6"/>
      <c r="AM234" s="37"/>
    </row>
    <row r="235">
      <c r="A235" s="41"/>
      <c r="B235" s="31"/>
      <c r="C235" s="40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4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6"/>
      <c r="AM235" s="37"/>
    </row>
    <row r="236">
      <c r="A236" s="41"/>
      <c r="B236" s="31"/>
      <c r="C236" s="40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4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6"/>
      <c r="AM236" s="37"/>
    </row>
    <row r="237">
      <c r="A237" s="41"/>
      <c r="B237" s="31"/>
      <c r="C237" s="40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4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6"/>
      <c r="AM237" s="37"/>
    </row>
    <row r="238">
      <c r="A238" s="41"/>
      <c r="B238" s="31"/>
      <c r="C238" s="40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4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6"/>
      <c r="AM238" s="37"/>
    </row>
    <row r="239">
      <c r="A239" s="41"/>
      <c r="B239" s="31"/>
      <c r="C239" s="40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4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6"/>
      <c r="AM239" s="37"/>
    </row>
    <row r="240">
      <c r="A240" s="41"/>
      <c r="B240" s="31"/>
      <c r="C240" s="40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4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6"/>
      <c r="AM240" s="37"/>
    </row>
    <row r="241">
      <c r="A241" s="41"/>
      <c r="B241" s="31"/>
      <c r="C241" s="40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4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6"/>
      <c r="AM241" s="37"/>
    </row>
    <row r="242">
      <c r="A242" s="41"/>
      <c r="B242" s="31"/>
      <c r="C242" s="4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4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6"/>
      <c r="AM242" s="37"/>
    </row>
    <row r="243">
      <c r="A243" s="41"/>
      <c r="B243" s="31"/>
      <c r="C243" s="40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4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6"/>
      <c r="AM243" s="37"/>
    </row>
    <row r="244">
      <c r="A244" s="41"/>
      <c r="B244" s="31"/>
      <c r="C244" s="40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4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6"/>
      <c r="AM244" s="37"/>
    </row>
    <row r="245">
      <c r="A245" s="41"/>
      <c r="B245" s="31"/>
      <c r="C245" s="40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4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6"/>
      <c r="AM245" s="37"/>
    </row>
    <row r="246">
      <c r="A246" s="41"/>
      <c r="B246" s="31"/>
      <c r="C246" s="40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4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6"/>
      <c r="AM246" s="37"/>
    </row>
    <row r="247">
      <c r="A247" s="41"/>
      <c r="B247" s="31"/>
      <c r="C247" s="40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4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6"/>
      <c r="AM247" s="37"/>
    </row>
    <row r="248">
      <c r="A248" s="41"/>
      <c r="B248" s="31"/>
      <c r="C248" s="40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4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6"/>
      <c r="AM248" s="37"/>
    </row>
    <row r="249">
      <c r="A249" s="41"/>
      <c r="B249" s="31"/>
      <c r="C249" s="40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4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6"/>
      <c r="AM249" s="37"/>
    </row>
    <row r="250">
      <c r="A250" s="41"/>
      <c r="B250" s="31"/>
      <c r="C250" s="40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4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6"/>
      <c r="AM250" s="37"/>
    </row>
    <row r="251">
      <c r="A251" s="41"/>
      <c r="B251" s="31"/>
      <c r="C251" s="40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4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6"/>
      <c r="AM251" s="37"/>
    </row>
    <row r="252">
      <c r="A252" s="41"/>
      <c r="B252" s="31"/>
      <c r="C252" s="40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4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6"/>
      <c r="AM252" s="37"/>
    </row>
    <row r="253">
      <c r="A253" s="41"/>
      <c r="B253" s="31"/>
      <c r="C253" s="40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4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6"/>
      <c r="AM253" s="37"/>
    </row>
    <row r="254">
      <c r="A254" s="41"/>
      <c r="B254" s="31"/>
      <c r="C254" s="40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4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6"/>
      <c r="AM254" s="37"/>
    </row>
    <row r="255">
      <c r="A255" s="41"/>
      <c r="B255" s="31"/>
      <c r="C255" s="40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4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6"/>
      <c r="AM255" s="37"/>
    </row>
    <row r="256">
      <c r="A256" s="41"/>
      <c r="B256" s="31"/>
      <c r="C256" s="40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4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6"/>
      <c r="AM256" s="37"/>
    </row>
    <row r="257">
      <c r="A257" s="41"/>
      <c r="B257" s="31"/>
      <c r="C257" s="40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4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6"/>
      <c r="AM257" s="37"/>
    </row>
    <row r="258">
      <c r="A258" s="41"/>
      <c r="B258" s="31"/>
      <c r="C258" s="40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4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6"/>
      <c r="AM258" s="37"/>
    </row>
    <row r="259">
      <c r="A259" s="41"/>
      <c r="B259" s="31"/>
      <c r="C259" s="40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4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6"/>
      <c r="AM259" s="37"/>
    </row>
    <row r="260">
      <c r="A260" s="41"/>
      <c r="B260" s="31"/>
      <c r="C260" s="40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4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6"/>
      <c r="AM260" s="37"/>
    </row>
    <row r="261">
      <c r="A261" s="41"/>
      <c r="B261" s="31"/>
      <c r="C261" s="40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4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6"/>
      <c r="AM261" s="37"/>
    </row>
    <row r="262">
      <c r="A262" s="41"/>
      <c r="B262" s="31"/>
      <c r="C262" s="40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4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6"/>
      <c r="AM262" s="37"/>
    </row>
    <row r="263">
      <c r="A263" s="41"/>
      <c r="B263" s="31"/>
      <c r="C263" s="40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4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6"/>
      <c r="AM263" s="37"/>
    </row>
    <row r="264">
      <c r="A264" s="41"/>
      <c r="B264" s="31"/>
      <c r="C264" s="40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4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6"/>
      <c r="AM264" s="37"/>
    </row>
    <row r="265">
      <c r="A265" s="41"/>
      <c r="B265" s="31"/>
      <c r="C265" s="40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4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6"/>
      <c r="AM265" s="37"/>
    </row>
    <row r="266">
      <c r="A266" s="41"/>
      <c r="B266" s="31"/>
      <c r="C266" s="40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4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6"/>
      <c r="AM266" s="37"/>
    </row>
    <row r="267">
      <c r="A267" s="41"/>
      <c r="B267" s="31"/>
      <c r="C267" s="40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4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6"/>
      <c r="AM267" s="37"/>
    </row>
    <row r="268">
      <c r="A268" s="41"/>
      <c r="B268" s="31"/>
      <c r="C268" s="40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4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6"/>
      <c r="AM268" s="37"/>
    </row>
    <row r="269">
      <c r="A269" s="41"/>
      <c r="B269" s="31"/>
      <c r="C269" s="40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4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6"/>
      <c r="AM269" s="37"/>
    </row>
    <row r="270">
      <c r="A270" s="41"/>
      <c r="B270" s="31"/>
      <c r="C270" s="40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4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6"/>
      <c r="AM270" s="37"/>
    </row>
    <row r="271">
      <c r="A271" s="41"/>
      <c r="B271" s="31"/>
      <c r="C271" s="40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4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6"/>
      <c r="AM271" s="37"/>
    </row>
    <row r="272">
      <c r="A272" s="41"/>
      <c r="B272" s="31"/>
      <c r="C272" s="40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4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6"/>
      <c r="AM272" s="37"/>
    </row>
    <row r="273">
      <c r="A273" s="41"/>
      <c r="B273" s="31"/>
      <c r="C273" s="40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4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6"/>
      <c r="AM273" s="37"/>
    </row>
    <row r="274">
      <c r="A274" s="41"/>
      <c r="B274" s="31"/>
      <c r="C274" s="40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4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6"/>
      <c r="AM274" s="37"/>
    </row>
    <row r="275">
      <c r="A275" s="41"/>
      <c r="B275" s="31"/>
      <c r="C275" s="40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4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6"/>
      <c r="AM275" s="37"/>
    </row>
    <row r="276">
      <c r="A276" s="41"/>
      <c r="B276" s="31"/>
      <c r="C276" s="40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4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6"/>
      <c r="AM276" s="37"/>
    </row>
    <row r="277">
      <c r="A277" s="41"/>
      <c r="B277" s="31"/>
      <c r="C277" s="40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4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6"/>
      <c r="AM277" s="37"/>
    </row>
    <row r="278">
      <c r="A278" s="41"/>
      <c r="B278" s="31"/>
      <c r="C278" s="40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4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6"/>
      <c r="AM278" s="37"/>
    </row>
    <row r="279">
      <c r="A279" s="41"/>
      <c r="B279" s="31"/>
      <c r="C279" s="40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4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6"/>
      <c r="AM279" s="37"/>
    </row>
    <row r="280">
      <c r="A280" s="41"/>
      <c r="B280" s="31"/>
      <c r="C280" s="40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4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6"/>
      <c r="AM280" s="37"/>
    </row>
    <row r="281">
      <c r="A281" s="41"/>
      <c r="B281" s="31"/>
      <c r="C281" s="40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4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6"/>
      <c r="AM281" s="37"/>
    </row>
    <row r="282">
      <c r="A282" s="41"/>
      <c r="B282" s="31"/>
      <c r="C282" s="40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4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6"/>
      <c r="AM282" s="37"/>
    </row>
    <row r="283">
      <c r="A283" s="41"/>
      <c r="B283" s="31"/>
      <c r="C283" s="40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4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6"/>
      <c r="AM283" s="37"/>
    </row>
    <row r="284">
      <c r="A284" s="41"/>
      <c r="B284" s="31"/>
      <c r="C284" s="40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4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6"/>
      <c r="AM284" s="37"/>
    </row>
    <row r="285">
      <c r="A285" s="41"/>
      <c r="B285" s="31"/>
      <c r="C285" s="40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4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6"/>
      <c r="AM285" s="37"/>
    </row>
    <row r="286">
      <c r="A286" s="41"/>
      <c r="B286" s="31"/>
      <c r="C286" s="40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4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6"/>
      <c r="AM286" s="37"/>
    </row>
    <row r="287">
      <c r="A287" s="41"/>
      <c r="B287" s="31"/>
      <c r="C287" s="40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4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6"/>
      <c r="AM287" s="37"/>
    </row>
    <row r="288">
      <c r="A288" s="41"/>
      <c r="B288" s="31"/>
      <c r="C288" s="40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4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6"/>
      <c r="AM288" s="37"/>
    </row>
    <row r="289">
      <c r="A289" s="41"/>
      <c r="B289" s="31"/>
      <c r="C289" s="40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4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6"/>
      <c r="AM289" s="37"/>
    </row>
    <row r="290">
      <c r="A290" s="41"/>
      <c r="B290" s="31"/>
      <c r="C290" s="40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4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6"/>
      <c r="AM290" s="37"/>
    </row>
    <row r="291">
      <c r="A291" s="41"/>
      <c r="B291" s="31"/>
      <c r="C291" s="40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4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6"/>
      <c r="AM291" s="37"/>
    </row>
    <row r="292">
      <c r="A292" s="41"/>
      <c r="B292" s="31"/>
      <c r="C292" s="40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4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6"/>
      <c r="AM292" s="37"/>
    </row>
    <row r="293">
      <c r="A293" s="41"/>
      <c r="B293" s="31"/>
      <c r="C293" s="40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4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6"/>
      <c r="AM293" s="37"/>
    </row>
    <row r="294">
      <c r="A294" s="41"/>
      <c r="B294" s="31"/>
      <c r="C294" s="40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4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6"/>
      <c r="AM294" s="37"/>
    </row>
    <row r="295">
      <c r="A295" s="41"/>
      <c r="B295" s="31"/>
      <c r="C295" s="40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4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6"/>
      <c r="AM295" s="37"/>
    </row>
    <row r="296">
      <c r="A296" s="41"/>
      <c r="B296" s="31"/>
      <c r="C296" s="40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4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6"/>
      <c r="AM296" s="37"/>
    </row>
    <row r="297">
      <c r="A297" s="41"/>
      <c r="B297" s="31"/>
      <c r="C297" s="40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4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6"/>
      <c r="AM297" s="37"/>
    </row>
    <row r="298">
      <c r="A298" s="41"/>
      <c r="B298" s="31"/>
      <c r="C298" s="40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4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6"/>
      <c r="AM298" s="37"/>
    </row>
    <row r="299">
      <c r="A299" s="41"/>
      <c r="B299" s="31"/>
      <c r="C299" s="40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4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6"/>
      <c r="AM299" s="37"/>
    </row>
    <row r="300">
      <c r="A300" s="41"/>
      <c r="B300" s="31"/>
      <c r="C300" s="40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4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6"/>
      <c r="AM300" s="37"/>
    </row>
    <row r="301">
      <c r="A301" s="41"/>
      <c r="B301" s="31"/>
      <c r="C301" s="40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4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6"/>
      <c r="AM301" s="37"/>
    </row>
    <row r="302">
      <c r="A302" s="41"/>
      <c r="B302" s="31"/>
      <c r="C302" s="40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4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6"/>
      <c r="AM302" s="37"/>
    </row>
    <row r="303">
      <c r="A303" s="41"/>
      <c r="B303" s="31"/>
      <c r="C303" s="40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4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6"/>
      <c r="AM303" s="37"/>
    </row>
    <row r="304">
      <c r="A304" s="41"/>
      <c r="B304" s="31"/>
      <c r="C304" s="40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4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6"/>
      <c r="AM304" s="37"/>
    </row>
    <row r="305">
      <c r="A305" s="41"/>
      <c r="B305" s="31"/>
      <c r="C305" s="40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4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6"/>
      <c r="AM305" s="37"/>
    </row>
    <row r="306">
      <c r="A306" s="41"/>
      <c r="B306" s="31"/>
      <c r="C306" s="40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4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6"/>
      <c r="AM306" s="37"/>
    </row>
    <row r="307">
      <c r="A307" s="41"/>
      <c r="B307" s="31"/>
      <c r="C307" s="40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4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6"/>
      <c r="AM307" s="37"/>
    </row>
    <row r="308">
      <c r="A308" s="41"/>
      <c r="B308" s="31"/>
      <c r="C308" s="40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4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6"/>
      <c r="AM308" s="37"/>
    </row>
    <row r="309">
      <c r="A309" s="41"/>
      <c r="B309" s="31"/>
      <c r="C309" s="40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4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6"/>
      <c r="AM309" s="37"/>
    </row>
    <row r="310">
      <c r="A310" s="41"/>
      <c r="B310" s="31"/>
      <c r="C310" s="40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4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6"/>
      <c r="AM310" s="37"/>
    </row>
    <row r="311">
      <c r="A311" s="41"/>
      <c r="B311" s="31"/>
      <c r="C311" s="40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4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6"/>
      <c r="AM311" s="37"/>
    </row>
    <row r="312">
      <c r="A312" s="41"/>
      <c r="B312" s="31"/>
      <c r="C312" s="40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4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6"/>
      <c r="AM312" s="37"/>
    </row>
    <row r="313">
      <c r="A313" s="41"/>
      <c r="B313" s="31"/>
      <c r="C313" s="40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4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6"/>
      <c r="AM313" s="37"/>
    </row>
    <row r="314">
      <c r="A314" s="41"/>
      <c r="B314" s="31"/>
      <c r="C314" s="40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4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6"/>
      <c r="AM314" s="37"/>
    </row>
    <row r="315">
      <c r="A315" s="41"/>
      <c r="B315" s="31"/>
      <c r="C315" s="40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4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6"/>
      <c r="AM315" s="37"/>
    </row>
    <row r="316">
      <c r="A316" s="41"/>
      <c r="B316" s="31"/>
      <c r="C316" s="40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4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6"/>
      <c r="AM316" s="37"/>
    </row>
    <row r="317">
      <c r="A317" s="41"/>
      <c r="B317" s="31"/>
      <c r="C317" s="40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4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6"/>
      <c r="AM317" s="37"/>
    </row>
    <row r="318">
      <c r="A318" s="41"/>
      <c r="B318" s="31"/>
      <c r="C318" s="40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4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6"/>
      <c r="AM318" s="37"/>
    </row>
    <row r="319">
      <c r="A319" s="41"/>
      <c r="B319" s="31"/>
      <c r="C319" s="40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4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6"/>
      <c r="AM319" s="37"/>
    </row>
    <row r="320">
      <c r="A320" s="41"/>
      <c r="B320" s="31"/>
      <c r="C320" s="40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4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6"/>
      <c r="AM320" s="37"/>
    </row>
    <row r="321">
      <c r="A321" s="41"/>
      <c r="B321" s="31"/>
      <c r="C321" s="40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4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6"/>
      <c r="AM321" s="37"/>
    </row>
    <row r="322">
      <c r="A322" s="41"/>
      <c r="B322" s="31"/>
      <c r="C322" s="40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4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6"/>
      <c r="AM322" s="37"/>
    </row>
    <row r="323">
      <c r="A323" s="41"/>
      <c r="B323" s="31"/>
      <c r="C323" s="40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4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6"/>
      <c r="AM323" s="37"/>
    </row>
    <row r="324">
      <c r="A324" s="41"/>
      <c r="B324" s="31"/>
      <c r="C324" s="40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4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6"/>
      <c r="AM324" s="37"/>
    </row>
    <row r="325">
      <c r="A325" s="41"/>
      <c r="B325" s="31"/>
      <c r="C325" s="40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4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6"/>
      <c r="AM325" s="37"/>
    </row>
    <row r="326">
      <c r="A326" s="41"/>
      <c r="B326" s="31"/>
      <c r="C326" s="40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4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6"/>
      <c r="AM326" s="37"/>
    </row>
    <row r="327">
      <c r="A327" s="41"/>
      <c r="B327" s="31"/>
      <c r="C327" s="40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4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6"/>
      <c r="AM327" s="37"/>
    </row>
    <row r="328">
      <c r="A328" s="41"/>
      <c r="B328" s="31"/>
      <c r="C328" s="40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4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6"/>
      <c r="AM328" s="37"/>
    </row>
    <row r="329">
      <c r="A329" s="41"/>
      <c r="B329" s="31"/>
      <c r="C329" s="40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4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6"/>
      <c r="AM329" s="37"/>
    </row>
    <row r="330">
      <c r="A330" s="41"/>
      <c r="B330" s="31"/>
      <c r="C330" s="40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4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6"/>
      <c r="AM330" s="37"/>
    </row>
    <row r="331">
      <c r="A331" s="41"/>
      <c r="B331" s="31"/>
      <c r="C331" s="40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4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6"/>
      <c r="AM331" s="37"/>
    </row>
    <row r="332">
      <c r="A332" s="41"/>
      <c r="B332" s="31"/>
      <c r="C332" s="40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4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6"/>
      <c r="AM332" s="37"/>
    </row>
    <row r="333">
      <c r="A333" s="41"/>
      <c r="B333" s="31"/>
      <c r="C333" s="40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4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6"/>
      <c r="AM333" s="37"/>
    </row>
    <row r="334">
      <c r="A334" s="41"/>
      <c r="B334" s="31"/>
      <c r="C334" s="40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4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6"/>
      <c r="AM334" s="37"/>
    </row>
    <row r="335">
      <c r="A335" s="41"/>
      <c r="B335" s="31"/>
      <c r="C335" s="40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4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6"/>
      <c r="AM335" s="37"/>
    </row>
    <row r="336">
      <c r="A336" s="41"/>
      <c r="B336" s="31"/>
      <c r="C336" s="40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4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6"/>
      <c r="AM336" s="37"/>
    </row>
    <row r="337">
      <c r="A337" s="41"/>
      <c r="B337" s="31"/>
      <c r="C337" s="40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4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6"/>
      <c r="AM337" s="37"/>
    </row>
    <row r="338">
      <c r="A338" s="41"/>
      <c r="B338" s="31"/>
      <c r="C338" s="40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4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6"/>
      <c r="AM338" s="37"/>
    </row>
    <row r="339">
      <c r="A339" s="41"/>
      <c r="B339" s="31"/>
      <c r="C339" s="40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4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6"/>
      <c r="AM339" s="37"/>
    </row>
    <row r="340">
      <c r="A340" s="41"/>
      <c r="B340" s="31"/>
      <c r="C340" s="40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4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6"/>
      <c r="AM340" s="37"/>
    </row>
    <row r="341">
      <c r="A341" s="41"/>
      <c r="B341" s="31"/>
      <c r="C341" s="40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4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6"/>
      <c r="AM341" s="37"/>
    </row>
    <row r="342">
      <c r="A342" s="41"/>
      <c r="B342" s="31"/>
      <c r="C342" s="40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4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6"/>
      <c r="AM342" s="37"/>
    </row>
    <row r="343">
      <c r="A343" s="41"/>
      <c r="B343" s="31"/>
      <c r="C343" s="40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4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6"/>
      <c r="AM343" s="37"/>
    </row>
    <row r="344">
      <c r="A344" s="41"/>
      <c r="B344" s="31"/>
      <c r="C344" s="40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4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6"/>
      <c r="AM344" s="37"/>
    </row>
    <row r="345">
      <c r="A345" s="41"/>
      <c r="B345" s="31"/>
      <c r="C345" s="40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4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6"/>
      <c r="AM345" s="37"/>
    </row>
    <row r="346">
      <c r="A346" s="41"/>
      <c r="B346" s="31"/>
      <c r="C346" s="40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4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6"/>
      <c r="AM346" s="37"/>
    </row>
    <row r="347">
      <c r="A347" s="41"/>
      <c r="B347" s="31"/>
      <c r="C347" s="40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4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6"/>
      <c r="AM347" s="37"/>
    </row>
    <row r="348">
      <c r="A348" s="41"/>
      <c r="B348" s="31"/>
      <c r="C348" s="40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4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6"/>
      <c r="AM348" s="37"/>
    </row>
    <row r="349">
      <c r="A349" s="41"/>
      <c r="B349" s="31"/>
      <c r="C349" s="40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4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6"/>
      <c r="AM349" s="37"/>
    </row>
    <row r="350">
      <c r="A350" s="41"/>
      <c r="B350" s="31"/>
      <c r="C350" s="40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4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6"/>
      <c r="AM350" s="37"/>
    </row>
    <row r="351">
      <c r="A351" s="41"/>
      <c r="B351" s="31"/>
      <c r="C351" s="40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4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6"/>
      <c r="AM351" s="37"/>
    </row>
    <row r="352">
      <c r="A352" s="41"/>
      <c r="B352" s="31"/>
      <c r="C352" s="40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4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6"/>
      <c r="AM352" s="37"/>
    </row>
    <row r="353">
      <c r="A353" s="41"/>
      <c r="B353" s="31"/>
      <c r="C353" s="40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4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6"/>
      <c r="AM353" s="37"/>
    </row>
    <row r="354">
      <c r="A354" s="41"/>
      <c r="B354" s="31"/>
      <c r="C354" s="40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4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6"/>
      <c r="AM354" s="37"/>
    </row>
    <row r="355">
      <c r="A355" s="41"/>
      <c r="B355" s="31"/>
      <c r="C355" s="40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4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6"/>
      <c r="AM355" s="37"/>
    </row>
    <row r="356">
      <c r="A356" s="41"/>
      <c r="B356" s="31"/>
      <c r="C356" s="40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4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6"/>
      <c r="AM356" s="37"/>
    </row>
    <row r="357">
      <c r="A357" s="41"/>
      <c r="B357" s="31"/>
      <c r="C357" s="40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4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6"/>
      <c r="AM357" s="37"/>
    </row>
    <row r="358">
      <c r="A358" s="41"/>
      <c r="B358" s="31"/>
      <c r="C358" s="40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4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6"/>
      <c r="AM358" s="37"/>
    </row>
    <row r="359">
      <c r="A359" s="41"/>
      <c r="B359" s="31"/>
      <c r="C359" s="40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4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6"/>
      <c r="AM359" s="37"/>
    </row>
    <row r="360">
      <c r="A360" s="41"/>
      <c r="B360" s="31"/>
      <c r="C360" s="40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4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6"/>
      <c r="AM360" s="37"/>
    </row>
    <row r="361">
      <c r="A361" s="41"/>
      <c r="B361" s="31"/>
      <c r="C361" s="40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4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6"/>
      <c r="AM361" s="37"/>
    </row>
    <row r="362">
      <c r="A362" s="41"/>
      <c r="B362" s="31"/>
      <c r="C362" s="40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4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6"/>
      <c r="AM362" s="37"/>
    </row>
    <row r="363">
      <c r="A363" s="41"/>
      <c r="B363" s="31"/>
      <c r="C363" s="40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4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6"/>
      <c r="AM363" s="37"/>
    </row>
    <row r="364">
      <c r="A364" s="41"/>
      <c r="B364" s="31"/>
      <c r="C364" s="40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4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6"/>
      <c r="AM364" s="37"/>
    </row>
    <row r="365">
      <c r="A365" s="41"/>
      <c r="B365" s="31"/>
      <c r="C365" s="40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4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6"/>
      <c r="AM365" s="37"/>
    </row>
    <row r="366">
      <c r="A366" s="41"/>
      <c r="B366" s="31"/>
      <c r="C366" s="40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4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6"/>
      <c r="AM366" s="37"/>
    </row>
    <row r="367">
      <c r="A367" s="41"/>
      <c r="B367" s="31"/>
      <c r="C367" s="40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4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6"/>
      <c r="AM367" s="37"/>
    </row>
    <row r="368">
      <c r="A368" s="41"/>
      <c r="B368" s="31"/>
      <c r="C368" s="40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4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6"/>
      <c r="AM368" s="37"/>
    </row>
    <row r="369">
      <c r="A369" s="41"/>
      <c r="B369" s="31"/>
      <c r="C369" s="40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4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6"/>
      <c r="AM369" s="37"/>
    </row>
    <row r="370">
      <c r="A370" s="41"/>
      <c r="B370" s="31"/>
      <c r="C370" s="40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4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6"/>
      <c r="AM370" s="37"/>
    </row>
    <row r="371">
      <c r="A371" s="41"/>
      <c r="B371" s="31"/>
      <c r="C371" s="40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4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6"/>
      <c r="AM371" s="37"/>
    </row>
    <row r="372">
      <c r="A372" s="41"/>
      <c r="B372" s="31"/>
      <c r="C372" s="40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4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6"/>
      <c r="AM372" s="37"/>
    </row>
    <row r="373">
      <c r="A373" s="41"/>
      <c r="B373" s="31"/>
      <c r="C373" s="40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4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6"/>
      <c r="AM373" s="37"/>
    </row>
    <row r="374">
      <c r="A374" s="41"/>
      <c r="B374" s="31"/>
      <c r="C374" s="40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4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6"/>
      <c r="AM374" s="37"/>
    </row>
    <row r="375">
      <c r="A375" s="41"/>
      <c r="B375" s="31"/>
      <c r="C375" s="40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4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6"/>
      <c r="AM375" s="37"/>
    </row>
    <row r="376">
      <c r="A376" s="41"/>
      <c r="B376" s="31"/>
      <c r="C376" s="40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4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6"/>
      <c r="AM376" s="37"/>
    </row>
    <row r="377">
      <c r="A377" s="41"/>
      <c r="B377" s="31"/>
      <c r="C377" s="40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4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6"/>
      <c r="AM377" s="37"/>
    </row>
    <row r="378">
      <c r="A378" s="41"/>
      <c r="B378" s="31"/>
      <c r="C378" s="40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4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6"/>
      <c r="AM378" s="37"/>
    </row>
    <row r="379">
      <c r="A379" s="41"/>
      <c r="B379" s="31"/>
      <c r="C379" s="40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4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6"/>
      <c r="AM379" s="37"/>
    </row>
    <row r="380">
      <c r="A380" s="41"/>
      <c r="B380" s="31"/>
      <c r="C380" s="40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4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6"/>
      <c r="AM380" s="37"/>
    </row>
    <row r="381">
      <c r="A381" s="41"/>
      <c r="B381" s="31"/>
      <c r="C381" s="40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4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6"/>
      <c r="AM381" s="37"/>
    </row>
    <row r="382">
      <c r="A382" s="41"/>
      <c r="B382" s="31"/>
      <c r="C382" s="40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4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6"/>
      <c r="AM382" s="37"/>
    </row>
    <row r="383">
      <c r="A383" s="41"/>
      <c r="B383" s="31"/>
      <c r="C383" s="40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4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6"/>
      <c r="AM383" s="37"/>
    </row>
    <row r="384">
      <c r="A384" s="41"/>
      <c r="B384" s="31"/>
      <c r="C384" s="40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4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6"/>
      <c r="AM384" s="37"/>
    </row>
    <row r="385">
      <c r="A385" s="41"/>
      <c r="B385" s="31"/>
      <c r="C385" s="40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4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6"/>
      <c r="AM385" s="37"/>
    </row>
    <row r="386">
      <c r="A386" s="41"/>
      <c r="B386" s="31"/>
      <c r="C386" s="40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4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6"/>
      <c r="AM386" s="37"/>
    </row>
    <row r="387">
      <c r="A387" s="41"/>
      <c r="B387" s="31"/>
      <c r="C387" s="40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4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6"/>
      <c r="AM387" s="37"/>
    </row>
    <row r="388">
      <c r="A388" s="41"/>
      <c r="B388" s="31"/>
      <c r="C388" s="40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4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6"/>
      <c r="AM388" s="37"/>
    </row>
    <row r="389">
      <c r="A389" s="41"/>
      <c r="B389" s="31"/>
      <c r="C389" s="40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4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6"/>
      <c r="AM389" s="37"/>
    </row>
    <row r="390">
      <c r="A390" s="41"/>
      <c r="B390" s="31"/>
      <c r="C390" s="40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4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6"/>
      <c r="AM390" s="37"/>
    </row>
    <row r="391">
      <c r="A391" s="41"/>
      <c r="B391" s="31"/>
      <c r="C391" s="40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4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6"/>
      <c r="AM391" s="37"/>
    </row>
    <row r="392">
      <c r="A392" s="41"/>
      <c r="B392" s="31"/>
      <c r="C392" s="40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4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6"/>
      <c r="AM392" s="37"/>
    </row>
    <row r="393">
      <c r="A393" s="41"/>
      <c r="B393" s="31"/>
      <c r="C393" s="40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4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6"/>
      <c r="AM393" s="37"/>
    </row>
    <row r="394">
      <c r="A394" s="41"/>
      <c r="B394" s="31"/>
      <c r="C394" s="40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4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6"/>
      <c r="AM394" s="37"/>
    </row>
    <row r="395">
      <c r="A395" s="41"/>
      <c r="B395" s="31"/>
      <c r="C395" s="40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4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6"/>
      <c r="AM395" s="37"/>
    </row>
    <row r="396">
      <c r="A396" s="41"/>
      <c r="B396" s="31"/>
      <c r="C396" s="40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4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6"/>
      <c r="AM396" s="37"/>
    </row>
    <row r="397">
      <c r="A397" s="41"/>
      <c r="B397" s="31"/>
      <c r="C397" s="40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4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6"/>
      <c r="AM397" s="37"/>
    </row>
    <row r="398">
      <c r="A398" s="41"/>
      <c r="B398" s="31"/>
      <c r="C398" s="40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4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6"/>
      <c r="AM398" s="37"/>
    </row>
    <row r="399">
      <c r="A399" s="41"/>
      <c r="B399" s="31"/>
      <c r="C399" s="40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4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6"/>
      <c r="AM399" s="37"/>
    </row>
    <row r="400">
      <c r="A400" s="41"/>
      <c r="B400" s="31"/>
      <c r="C400" s="40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4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6"/>
      <c r="AM400" s="37"/>
    </row>
    <row r="401">
      <c r="A401" s="41"/>
      <c r="B401" s="31"/>
      <c r="C401" s="40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4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6"/>
      <c r="AM401" s="37"/>
    </row>
    <row r="402">
      <c r="A402" s="41"/>
      <c r="B402" s="31"/>
      <c r="C402" s="40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4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6"/>
      <c r="AM402" s="37"/>
    </row>
    <row r="403">
      <c r="A403" s="41"/>
      <c r="B403" s="31"/>
      <c r="C403" s="40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4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6"/>
      <c r="AM403" s="37"/>
    </row>
    <row r="404">
      <c r="A404" s="41"/>
      <c r="B404" s="31"/>
      <c r="C404" s="40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4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6"/>
      <c r="AM404" s="37"/>
    </row>
    <row r="405">
      <c r="A405" s="41"/>
      <c r="B405" s="31"/>
      <c r="C405" s="40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4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6"/>
      <c r="AM405" s="37"/>
    </row>
    <row r="406">
      <c r="A406" s="41"/>
      <c r="B406" s="31"/>
      <c r="C406" s="40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4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6"/>
      <c r="AM406" s="37"/>
    </row>
    <row r="407">
      <c r="A407" s="41"/>
      <c r="B407" s="31"/>
      <c r="C407" s="40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4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6"/>
      <c r="AM407" s="37"/>
    </row>
    <row r="408">
      <c r="A408" s="41"/>
      <c r="B408" s="31"/>
      <c r="C408" s="40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4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6"/>
      <c r="AM408" s="37"/>
    </row>
    <row r="409">
      <c r="A409" s="41"/>
      <c r="B409" s="31"/>
      <c r="C409" s="40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4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6"/>
      <c r="AM409" s="37"/>
    </row>
    <row r="410">
      <c r="A410" s="41"/>
      <c r="B410" s="31"/>
      <c r="C410" s="40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4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6"/>
      <c r="AM410" s="37"/>
    </row>
    <row r="411">
      <c r="A411" s="41"/>
      <c r="B411" s="31"/>
      <c r="C411" s="40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4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6"/>
      <c r="AM411" s="37"/>
    </row>
    <row r="412">
      <c r="A412" s="41"/>
      <c r="B412" s="31"/>
      <c r="C412" s="40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4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6"/>
      <c r="AM412" s="37"/>
    </row>
    <row r="413">
      <c r="A413" s="41"/>
      <c r="B413" s="31"/>
      <c r="C413" s="40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4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6"/>
      <c r="AM413" s="37"/>
    </row>
    <row r="414">
      <c r="A414" s="41"/>
      <c r="B414" s="31"/>
      <c r="C414" s="40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4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6"/>
      <c r="AM414" s="37"/>
    </row>
    <row r="415">
      <c r="A415" s="41"/>
      <c r="B415" s="31"/>
      <c r="C415" s="40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4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6"/>
      <c r="AM415" s="37"/>
    </row>
    <row r="416">
      <c r="A416" s="41"/>
      <c r="B416" s="31"/>
      <c r="C416" s="40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4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6"/>
      <c r="AM416" s="37"/>
    </row>
    <row r="417">
      <c r="A417" s="41"/>
      <c r="B417" s="31"/>
      <c r="C417" s="40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4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6"/>
      <c r="AM417" s="37"/>
    </row>
    <row r="418">
      <c r="A418" s="41"/>
      <c r="B418" s="31"/>
      <c r="C418" s="40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4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6"/>
      <c r="AM418" s="37"/>
    </row>
    <row r="419">
      <c r="A419" s="41"/>
      <c r="B419" s="31"/>
      <c r="C419" s="40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4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6"/>
      <c r="AM419" s="37"/>
    </row>
    <row r="420">
      <c r="A420" s="41"/>
      <c r="B420" s="31"/>
      <c r="C420" s="40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4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6"/>
      <c r="AM420" s="37"/>
    </row>
    <row r="421">
      <c r="A421" s="41"/>
      <c r="B421" s="31"/>
      <c r="C421" s="40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4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6"/>
      <c r="AM421" s="37"/>
    </row>
    <row r="422">
      <c r="A422" s="41"/>
      <c r="B422" s="31"/>
      <c r="C422" s="40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4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6"/>
      <c r="AM422" s="37"/>
    </row>
    <row r="423">
      <c r="A423" s="41"/>
      <c r="B423" s="31"/>
      <c r="C423" s="40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4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6"/>
      <c r="AM423" s="37"/>
    </row>
    <row r="424">
      <c r="A424" s="41"/>
      <c r="B424" s="31"/>
      <c r="C424" s="40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4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6"/>
      <c r="AM424" s="37"/>
    </row>
    <row r="425">
      <c r="A425" s="41"/>
      <c r="B425" s="31"/>
      <c r="C425" s="40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4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6"/>
      <c r="AM425" s="37"/>
    </row>
    <row r="426">
      <c r="A426" s="41"/>
      <c r="B426" s="31"/>
      <c r="C426" s="40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4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6"/>
      <c r="AM426" s="37"/>
    </row>
    <row r="427">
      <c r="A427" s="41"/>
      <c r="B427" s="31"/>
      <c r="C427" s="40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4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6"/>
      <c r="AM427" s="37"/>
    </row>
    <row r="428">
      <c r="A428" s="41"/>
      <c r="B428" s="31"/>
      <c r="C428" s="40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4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6"/>
      <c r="AM428" s="37"/>
    </row>
    <row r="429">
      <c r="A429" s="41"/>
      <c r="B429" s="31"/>
      <c r="C429" s="40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4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6"/>
      <c r="AM429" s="37"/>
    </row>
    <row r="430">
      <c r="A430" s="41"/>
      <c r="B430" s="31"/>
      <c r="C430" s="40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4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6"/>
      <c r="AM430" s="37"/>
    </row>
    <row r="431">
      <c r="A431" s="41"/>
      <c r="B431" s="31"/>
      <c r="C431" s="40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4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6"/>
      <c r="AM431" s="37"/>
    </row>
    <row r="432">
      <c r="A432" s="41"/>
      <c r="B432" s="31"/>
      <c r="C432" s="40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4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6"/>
      <c r="AM432" s="37"/>
    </row>
    <row r="433">
      <c r="A433" s="41"/>
      <c r="B433" s="31"/>
      <c r="C433" s="40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4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6"/>
      <c r="AM433" s="37"/>
    </row>
    <row r="434">
      <c r="A434" s="41"/>
      <c r="B434" s="31"/>
      <c r="C434" s="40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4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6"/>
      <c r="AM434" s="37"/>
    </row>
    <row r="435">
      <c r="A435" s="41"/>
      <c r="B435" s="31"/>
      <c r="C435" s="40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4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6"/>
      <c r="AM435" s="37"/>
    </row>
    <row r="436">
      <c r="A436" s="41"/>
      <c r="B436" s="31"/>
      <c r="C436" s="40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4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6"/>
      <c r="AM436" s="37"/>
    </row>
    <row r="437">
      <c r="A437" s="41"/>
      <c r="B437" s="31"/>
      <c r="C437" s="40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4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6"/>
      <c r="AM437" s="37"/>
    </row>
    <row r="438">
      <c r="A438" s="41"/>
      <c r="B438" s="31"/>
      <c r="C438" s="40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4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6"/>
      <c r="AM438" s="37"/>
    </row>
    <row r="439">
      <c r="A439" s="41"/>
      <c r="B439" s="31"/>
      <c r="C439" s="40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4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6"/>
      <c r="AM439" s="37"/>
    </row>
    <row r="440">
      <c r="A440" s="41"/>
      <c r="B440" s="31"/>
      <c r="C440" s="40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4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6"/>
      <c r="AM440" s="37"/>
    </row>
    <row r="441">
      <c r="A441" s="41"/>
      <c r="B441" s="31"/>
      <c r="C441" s="40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4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6"/>
      <c r="AM441" s="37"/>
    </row>
    <row r="442">
      <c r="A442" s="41"/>
      <c r="B442" s="31"/>
      <c r="C442" s="40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4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6"/>
      <c r="AM442" s="37"/>
    </row>
    <row r="443">
      <c r="A443" s="41"/>
      <c r="B443" s="31"/>
      <c r="C443" s="40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4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6"/>
      <c r="AM443" s="37"/>
    </row>
    <row r="444">
      <c r="A444" s="41"/>
      <c r="B444" s="31"/>
      <c r="C444" s="40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4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6"/>
      <c r="AM444" s="37"/>
    </row>
    <row r="445">
      <c r="A445" s="41"/>
      <c r="B445" s="31"/>
      <c r="C445" s="40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4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6"/>
      <c r="AM445" s="37"/>
    </row>
    <row r="446">
      <c r="A446" s="41"/>
      <c r="B446" s="31"/>
      <c r="C446" s="40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4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6"/>
      <c r="AM446" s="37"/>
    </row>
    <row r="447">
      <c r="A447" s="41"/>
      <c r="B447" s="31"/>
      <c r="C447" s="40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4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6"/>
      <c r="AM447" s="37"/>
    </row>
    <row r="448">
      <c r="A448" s="41"/>
      <c r="B448" s="31"/>
      <c r="C448" s="40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4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6"/>
      <c r="AM448" s="37"/>
    </row>
    <row r="449">
      <c r="A449" s="41"/>
      <c r="B449" s="31"/>
      <c r="C449" s="40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4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6"/>
      <c r="AM449" s="37"/>
    </row>
    <row r="450">
      <c r="A450" s="41"/>
      <c r="B450" s="31"/>
      <c r="C450" s="40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4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6"/>
      <c r="AM450" s="37"/>
    </row>
    <row r="451">
      <c r="A451" s="41"/>
      <c r="B451" s="31"/>
      <c r="C451" s="40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4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6"/>
      <c r="AM451" s="37"/>
    </row>
    <row r="452">
      <c r="A452" s="41"/>
      <c r="B452" s="31"/>
      <c r="C452" s="40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4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6"/>
      <c r="AM452" s="37"/>
    </row>
    <row r="453">
      <c r="A453" s="41"/>
      <c r="B453" s="31"/>
      <c r="C453" s="40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4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6"/>
      <c r="AM453" s="37"/>
    </row>
    <row r="454">
      <c r="A454" s="41"/>
      <c r="B454" s="31"/>
      <c r="C454" s="40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4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6"/>
      <c r="AM454" s="37"/>
    </row>
    <row r="455">
      <c r="A455" s="41"/>
      <c r="B455" s="31"/>
      <c r="C455" s="40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4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6"/>
      <c r="AM455" s="37"/>
    </row>
    <row r="456">
      <c r="A456" s="41"/>
      <c r="B456" s="31"/>
      <c r="C456" s="40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4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6"/>
      <c r="AM456" s="37"/>
    </row>
    <row r="457">
      <c r="A457" s="41"/>
      <c r="B457" s="31"/>
      <c r="C457" s="40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4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6"/>
      <c r="AM457" s="37"/>
    </row>
    <row r="458">
      <c r="A458" s="41"/>
      <c r="B458" s="31"/>
      <c r="C458" s="40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4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6"/>
      <c r="AM458" s="37"/>
    </row>
    <row r="459">
      <c r="A459" s="41"/>
      <c r="B459" s="31"/>
      <c r="C459" s="40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4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6"/>
      <c r="AM459" s="37"/>
    </row>
    <row r="460">
      <c r="A460" s="41"/>
      <c r="B460" s="31"/>
      <c r="C460" s="40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4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6"/>
      <c r="AM460" s="37"/>
    </row>
    <row r="461">
      <c r="A461" s="41"/>
      <c r="B461" s="31"/>
      <c r="C461" s="40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4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6"/>
      <c r="AM461" s="37"/>
    </row>
    <row r="462">
      <c r="A462" s="41"/>
      <c r="B462" s="31"/>
      <c r="C462" s="40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4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6"/>
      <c r="AM462" s="37"/>
    </row>
    <row r="463">
      <c r="A463" s="41"/>
      <c r="B463" s="31"/>
      <c r="C463" s="40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4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6"/>
      <c r="AM463" s="37"/>
    </row>
    <row r="464">
      <c r="A464" s="41"/>
      <c r="B464" s="31"/>
      <c r="C464" s="40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4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6"/>
      <c r="AM464" s="37"/>
    </row>
    <row r="465">
      <c r="A465" s="41"/>
      <c r="B465" s="31"/>
      <c r="C465" s="40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4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6"/>
      <c r="AM465" s="37"/>
    </row>
    <row r="466">
      <c r="A466" s="41"/>
      <c r="B466" s="31"/>
      <c r="C466" s="40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4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6"/>
      <c r="AM466" s="37"/>
    </row>
    <row r="467">
      <c r="A467" s="41"/>
      <c r="B467" s="31"/>
      <c r="C467" s="40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4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6"/>
      <c r="AM467" s="37"/>
    </row>
    <row r="468">
      <c r="A468" s="41"/>
      <c r="B468" s="31"/>
      <c r="C468" s="40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4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6"/>
      <c r="AM468" s="37"/>
    </row>
    <row r="469">
      <c r="A469" s="41"/>
      <c r="B469" s="31"/>
      <c r="C469" s="40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4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6"/>
      <c r="AM469" s="37"/>
    </row>
    <row r="470">
      <c r="A470" s="41"/>
      <c r="B470" s="31"/>
      <c r="C470" s="40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4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6"/>
      <c r="AM470" s="37"/>
    </row>
    <row r="471">
      <c r="A471" s="41"/>
      <c r="B471" s="31"/>
      <c r="C471" s="40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4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6"/>
      <c r="AM471" s="37"/>
    </row>
    <row r="472">
      <c r="A472" s="41"/>
      <c r="B472" s="31"/>
      <c r="C472" s="40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4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6"/>
      <c r="AM472" s="37"/>
    </row>
    <row r="473">
      <c r="A473" s="41"/>
      <c r="B473" s="31"/>
      <c r="C473" s="40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4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6"/>
      <c r="AM473" s="37"/>
    </row>
    <row r="474">
      <c r="A474" s="41"/>
      <c r="B474" s="31"/>
      <c r="C474" s="40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4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6"/>
      <c r="AM474" s="37"/>
    </row>
    <row r="475">
      <c r="A475" s="41"/>
      <c r="B475" s="31"/>
      <c r="C475" s="40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4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6"/>
      <c r="AM475" s="37"/>
    </row>
    <row r="476">
      <c r="A476" s="41"/>
      <c r="B476" s="31"/>
      <c r="C476" s="40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4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6"/>
      <c r="AM476" s="37"/>
    </row>
    <row r="477">
      <c r="A477" s="41"/>
      <c r="B477" s="31"/>
      <c r="C477" s="40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4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6"/>
      <c r="AM477" s="37"/>
    </row>
    <row r="478">
      <c r="A478" s="41"/>
      <c r="B478" s="31"/>
      <c r="C478" s="40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4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6"/>
      <c r="AM478" s="37"/>
    </row>
    <row r="479">
      <c r="A479" s="41"/>
      <c r="B479" s="31"/>
      <c r="C479" s="40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4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6"/>
      <c r="AM479" s="37"/>
    </row>
    <row r="480">
      <c r="A480" s="41"/>
      <c r="B480" s="31"/>
      <c r="C480" s="40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4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6"/>
      <c r="AM480" s="37"/>
    </row>
    <row r="481">
      <c r="A481" s="41"/>
      <c r="B481" s="31"/>
      <c r="C481" s="40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4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6"/>
      <c r="AM481" s="37"/>
    </row>
    <row r="482">
      <c r="A482" s="41"/>
      <c r="B482" s="31"/>
      <c r="C482" s="40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4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6"/>
      <c r="AM482" s="37"/>
    </row>
    <row r="483">
      <c r="A483" s="41"/>
      <c r="B483" s="31"/>
      <c r="C483" s="40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4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6"/>
      <c r="AM483" s="37"/>
    </row>
    <row r="484">
      <c r="A484" s="41"/>
      <c r="B484" s="31"/>
      <c r="C484" s="40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4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6"/>
      <c r="AM484" s="37"/>
    </row>
    <row r="485">
      <c r="A485" s="41"/>
      <c r="B485" s="31"/>
      <c r="C485" s="40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4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6"/>
      <c r="AM485" s="37"/>
    </row>
    <row r="486">
      <c r="A486" s="41"/>
      <c r="B486" s="31"/>
      <c r="C486" s="40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4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6"/>
      <c r="AM486" s="37"/>
    </row>
    <row r="487">
      <c r="A487" s="41"/>
      <c r="B487" s="31"/>
      <c r="C487" s="40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4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6"/>
      <c r="AM487" s="37"/>
    </row>
    <row r="488">
      <c r="A488" s="41"/>
      <c r="B488" s="31"/>
      <c r="C488" s="40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4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6"/>
      <c r="AM488" s="37"/>
    </row>
    <row r="489">
      <c r="A489" s="41"/>
      <c r="B489" s="31"/>
      <c r="C489" s="40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4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6"/>
      <c r="AM489" s="37"/>
    </row>
    <row r="490">
      <c r="A490" s="41"/>
      <c r="B490" s="31"/>
      <c r="C490" s="40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4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6"/>
      <c r="AM490" s="37"/>
    </row>
    <row r="491">
      <c r="A491" s="41"/>
      <c r="B491" s="31"/>
      <c r="C491" s="40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4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6"/>
      <c r="AM491" s="37"/>
    </row>
    <row r="492">
      <c r="A492" s="41"/>
      <c r="B492" s="31"/>
      <c r="C492" s="40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4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6"/>
      <c r="AM492" s="37"/>
    </row>
    <row r="493">
      <c r="A493" s="41"/>
      <c r="B493" s="31"/>
      <c r="C493" s="40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4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6"/>
      <c r="AM493" s="37"/>
    </row>
    <row r="494">
      <c r="A494" s="41"/>
      <c r="B494" s="31"/>
      <c r="C494" s="40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4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6"/>
      <c r="AM494" s="37"/>
    </row>
    <row r="495">
      <c r="A495" s="41"/>
      <c r="B495" s="31"/>
      <c r="C495" s="40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4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6"/>
      <c r="AM495" s="37"/>
    </row>
    <row r="496">
      <c r="A496" s="41"/>
      <c r="B496" s="31"/>
      <c r="C496" s="40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4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6"/>
      <c r="AM496" s="37"/>
    </row>
    <row r="497">
      <c r="A497" s="41"/>
      <c r="B497" s="31"/>
      <c r="C497" s="40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4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6"/>
      <c r="AM497" s="37"/>
    </row>
    <row r="498">
      <c r="A498" s="41"/>
      <c r="B498" s="31"/>
      <c r="C498" s="40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4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6"/>
      <c r="AM498" s="37"/>
    </row>
    <row r="499">
      <c r="A499" s="41"/>
      <c r="B499" s="31"/>
      <c r="C499" s="40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4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6"/>
      <c r="AM499" s="37"/>
    </row>
    <row r="500">
      <c r="A500" s="41"/>
      <c r="B500" s="31"/>
      <c r="C500" s="40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4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6"/>
      <c r="AM500" s="37"/>
    </row>
    <row r="501">
      <c r="A501" s="41"/>
      <c r="B501" s="31"/>
      <c r="C501" s="40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4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6"/>
      <c r="AM501" s="37"/>
    </row>
    <row r="502">
      <c r="A502" s="41"/>
      <c r="B502" s="31"/>
      <c r="C502" s="40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4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6"/>
      <c r="AM502" s="37"/>
    </row>
    <row r="503">
      <c r="A503" s="41"/>
      <c r="B503" s="31"/>
      <c r="C503" s="40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4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6"/>
      <c r="AM503" s="37"/>
    </row>
    <row r="504">
      <c r="A504" s="41"/>
      <c r="B504" s="31"/>
      <c r="C504" s="40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4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6"/>
      <c r="AM504" s="37"/>
    </row>
    <row r="505">
      <c r="A505" s="41"/>
      <c r="B505" s="31"/>
      <c r="C505" s="40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4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6"/>
      <c r="AM505" s="37"/>
    </row>
    <row r="506">
      <c r="A506" s="41"/>
      <c r="B506" s="31"/>
      <c r="C506" s="40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4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6"/>
      <c r="AM506" s="37"/>
    </row>
    <row r="507">
      <c r="A507" s="41"/>
      <c r="B507" s="31"/>
      <c r="C507" s="40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4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6"/>
      <c r="AM507" s="37"/>
    </row>
    <row r="508">
      <c r="A508" s="41"/>
      <c r="B508" s="31"/>
      <c r="C508" s="40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4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6"/>
      <c r="AM508" s="37"/>
    </row>
    <row r="509">
      <c r="A509" s="41"/>
      <c r="B509" s="31"/>
      <c r="C509" s="40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4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6"/>
      <c r="AM509" s="37"/>
    </row>
    <row r="510">
      <c r="A510" s="41"/>
      <c r="B510" s="31"/>
      <c r="C510" s="40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4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6"/>
      <c r="AM510" s="37"/>
    </row>
    <row r="511">
      <c r="A511" s="41"/>
      <c r="B511" s="31"/>
      <c r="C511" s="40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4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6"/>
      <c r="AM511" s="37"/>
    </row>
    <row r="512">
      <c r="A512" s="41"/>
      <c r="B512" s="31"/>
      <c r="C512" s="40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4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6"/>
      <c r="AM512" s="37"/>
    </row>
    <row r="513">
      <c r="A513" s="41"/>
      <c r="B513" s="31"/>
      <c r="C513" s="40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4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6"/>
      <c r="AM513" s="37"/>
    </row>
    <row r="514">
      <c r="A514" s="41"/>
      <c r="B514" s="31"/>
      <c r="C514" s="40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4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6"/>
      <c r="AM514" s="37"/>
    </row>
    <row r="515">
      <c r="A515" s="41"/>
      <c r="B515" s="31"/>
      <c r="C515" s="40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4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6"/>
      <c r="AM515" s="37"/>
    </row>
    <row r="516">
      <c r="A516" s="41"/>
      <c r="B516" s="31"/>
      <c r="C516" s="40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4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6"/>
      <c r="AM516" s="37"/>
    </row>
    <row r="517">
      <c r="A517" s="41"/>
      <c r="B517" s="31"/>
      <c r="C517" s="40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4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6"/>
      <c r="AM517" s="37"/>
    </row>
    <row r="518">
      <c r="A518" s="41"/>
      <c r="B518" s="31"/>
      <c r="C518" s="40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4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6"/>
      <c r="AM518" s="37"/>
    </row>
    <row r="519">
      <c r="A519" s="41"/>
      <c r="B519" s="31"/>
      <c r="C519" s="40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4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6"/>
      <c r="AM519" s="37"/>
    </row>
    <row r="520">
      <c r="A520" s="41"/>
      <c r="B520" s="31"/>
      <c r="C520" s="40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4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6"/>
      <c r="AM520" s="37"/>
    </row>
    <row r="521">
      <c r="A521" s="41"/>
      <c r="B521" s="31"/>
      <c r="C521" s="40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4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6"/>
      <c r="AM521" s="37"/>
    </row>
    <row r="522">
      <c r="A522" s="41"/>
      <c r="B522" s="31"/>
      <c r="C522" s="40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4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6"/>
      <c r="AM522" s="37"/>
    </row>
    <row r="523">
      <c r="A523" s="41"/>
      <c r="B523" s="31"/>
      <c r="C523" s="40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4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6"/>
      <c r="AM523" s="37"/>
    </row>
    <row r="524">
      <c r="A524" s="41"/>
      <c r="B524" s="31"/>
      <c r="C524" s="40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4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6"/>
      <c r="AM524" s="37"/>
    </row>
    <row r="525">
      <c r="A525" s="41"/>
      <c r="B525" s="31"/>
      <c r="C525" s="40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4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6"/>
      <c r="AM525" s="37"/>
    </row>
    <row r="526">
      <c r="A526" s="41"/>
      <c r="B526" s="31"/>
      <c r="C526" s="40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4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6"/>
      <c r="AM526" s="37"/>
    </row>
    <row r="527">
      <c r="A527" s="41"/>
      <c r="B527" s="31"/>
      <c r="C527" s="40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4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6"/>
      <c r="AM527" s="37"/>
    </row>
    <row r="528">
      <c r="A528" s="41"/>
      <c r="B528" s="31"/>
      <c r="C528" s="40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4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6"/>
      <c r="AM528" s="37"/>
    </row>
    <row r="529">
      <c r="A529" s="41"/>
      <c r="B529" s="31"/>
      <c r="C529" s="40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4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6"/>
      <c r="AM529" s="37"/>
    </row>
    <row r="530">
      <c r="A530" s="41"/>
      <c r="B530" s="31"/>
      <c r="C530" s="40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4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6"/>
      <c r="AM530" s="37"/>
    </row>
    <row r="531">
      <c r="A531" s="41"/>
      <c r="B531" s="31"/>
      <c r="C531" s="40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4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6"/>
      <c r="AM531" s="37"/>
    </row>
    <row r="532">
      <c r="A532" s="41"/>
      <c r="B532" s="31"/>
      <c r="C532" s="40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4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6"/>
      <c r="AM532" s="37"/>
    </row>
    <row r="533">
      <c r="A533" s="41"/>
      <c r="B533" s="31"/>
      <c r="C533" s="40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4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6"/>
      <c r="AM533" s="37"/>
    </row>
    <row r="534">
      <c r="A534" s="41"/>
      <c r="B534" s="31"/>
      <c r="C534" s="40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4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6"/>
      <c r="AM534" s="37"/>
    </row>
    <row r="535">
      <c r="A535" s="41"/>
      <c r="B535" s="31"/>
      <c r="C535" s="4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4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6"/>
      <c r="AM535" s="37"/>
    </row>
    <row r="536">
      <c r="A536" s="41"/>
      <c r="B536" s="31"/>
      <c r="C536" s="4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4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6"/>
      <c r="AM536" s="37"/>
    </row>
    <row r="537">
      <c r="A537" s="41"/>
      <c r="B537" s="31"/>
      <c r="C537" s="4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4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6"/>
      <c r="AM537" s="37"/>
    </row>
    <row r="538">
      <c r="A538" s="41"/>
      <c r="B538" s="31"/>
      <c r="C538" s="4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4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6"/>
      <c r="AM538" s="37"/>
    </row>
    <row r="539">
      <c r="A539" s="41"/>
      <c r="B539" s="31"/>
      <c r="C539" s="4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4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6"/>
      <c r="AM539" s="37"/>
    </row>
    <row r="540">
      <c r="A540" s="41"/>
      <c r="B540" s="31"/>
      <c r="C540" s="4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4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6"/>
      <c r="AM540" s="37"/>
    </row>
    <row r="541">
      <c r="A541" s="41"/>
      <c r="B541" s="31"/>
      <c r="C541" s="4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4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6"/>
      <c r="AM541" s="37"/>
    </row>
    <row r="542">
      <c r="A542" s="41"/>
      <c r="B542" s="31"/>
      <c r="C542" s="4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4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6"/>
      <c r="AM542" s="37"/>
    </row>
    <row r="543">
      <c r="A543" s="41"/>
      <c r="B543" s="31"/>
      <c r="C543" s="4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4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6"/>
      <c r="AM543" s="37"/>
    </row>
    <row r="544">
      <c r="A544" s="41"/>
      <c r="B544" s="31"/>
      <c r="C544" s="4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4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6"/>
      <c r="AM544" s="37"/>
    </row>
    <row r="545">
      <c r="A545" s="41"/>
      <c r="B545" s="31"/>
      <c r="C545" s="4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4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6"/>
      <c r="AM545" s="37"/>
    </row>
    <row r="546">
      <c r="A546" s="41"/>
      <c r="B546" s="31"/>
      <c r="C546" s="4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4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6"/>
      <c r="AM546" s="37"/>
    </row>
    <row r="547">
      <c r="A547" s="41"/>
      <c r="B547" s="31"/>
      <c r="C547" s="4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4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6"/>
      <c r="AM547" s="37"/>
    </row>
    <row r="548">
      <c r="A548" s="41"/>
      <c r="B548" s="31"/>
      <c r="C548" s="4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4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6"/>
      <c r="AM548" s="37"/>
    </row>
    <row r="549">
      <c r="A549" s="41"/>
      <c r="B549" s="31"/>
      <c r="C549" s="40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4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6"/>
      <c r="AM549" s="37"/>
    </row>
    <row r="550">
      <c r="A550" s="41"/>
      <c r="B550" s="31"/>
      <c r="C550" s="40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4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6"/>
      <c r="AM550" s="37"/>
    </row>
    <row r="551">
      <c r="A551" s="41"/>
      <c r="B551" s="31"/>
      <c r="C551" s="4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4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6"/>
      <c r="AM551" s="37"/>
    </row>
    <row r="552">
      <c r="A552" s="41"/>
      <c r="B552" s="31"/>
      <c r="C552" s="40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4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6"/>
      <c r="AM552" s="37"/>
    </row>
    <row r="553">
      <c r="A553" s="41"/>
      <c r="B553" s="31"/>
      <c r="C553" s="40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4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6"/>
      <c r="AM553" s="37"/>
    </row>
    <row r="554">
      <c r="A554" s="41"/>
      <c r="B554" s="31"/>
      <c r="C554" s="40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4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6"/>
      <c r="AM554" s="37"/>
    </row>
    <row r="555">
      <c r="A555" s="41"/>
      <c r="B555" s="31"/>
      <c r="C555" s="40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4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6"/>
      <c r="AM555" s="37"/>
    </row>
    <row r="556">
      <c r="A556" s="41"/>
      <c r="B556" s="31"/>
      <c r="C556" s="40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4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6"/>
      <c r="AM556" s="37"/>
    </row>
    <row r="557">
      <c r="A557" s="41"/>
      <c r="B557" s="31"/>
      <c r="C557" s="40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4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6"/>
      <c r="AM557" s="37"/>
    </row>
    <row r="558">
      <c r="A558" s="41"/>
      <c r="B558" s="31"/>
      <c r="C558" s="40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4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6"/>
      <c r="AM558" s="37"/>
    </row>
    <row r="559">
      <c r="A559" s="41"/>
      <c r="B559" s="31"/>
      <c r="C559" s="40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4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6"/>
      <c r="AM559" s="37"/>
    </row>
    <row r="560">
      <c r="A560" s="41"/>
      <c r="B560" s="31"/>
      <c r="C560" s="40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4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6"/>
      <c r="AM560" s="37"/>
    </row>
    <row r="561">
      <c r="A561" s="41"/>
      <c r="B561" s="31"/>
      <c r="C561" s="40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4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6"/>
      <c r="AM561" s="37"/>
    </row>
    <row r="562">
      <c r="A562" s="41"/>
      <c r="B562" s="31"/>
      <c r="C562" s="40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4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6"/>
      <c r="AM562" s="37"/>
    </row>
    <row r="563">
      <c r="A563" s="41"/>
      <c r="B563" s="31"/>
      <c r="C563" s="4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4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6"/>
      <c r="AM563" s="37"/>
    </row>
    <row r="564">
      <c r="A564" s="41"/>
      <c r="B564" s="31"/>
      <c r="C564" s="40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4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6"/>
      <c r="AM564" s="37"/>
    </row>
    <row r="565">
      <c r="A565" s="41"/>
      <c r="B565" s="31"/>
      <c r="C565" s="40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4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6"/>
      <c r="AM565" s="37"/>
    </row>
    <row r="566">
      <c r="A566" s="41"/>
      <c r="B566" s="31"/>
      <c r="C566" s="40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4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6"/>
      <c r="AM566" s="37"/>
    </row>
    <row r="567">
      <c r="A567" s="41"/>
      <c r="B567" s="31"/>
      <c r="C567" s="40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4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6"/>
      <c r="AM567" s="37"/>
    </row>
    <row r="568">
      <c r="A568" s="41"/>
      <c r="B568" s="31"/>
      <c r="C568" s="40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4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6"/>
      <c r="AM568" s="37"/>
    </row>
    <row r="569">
      <c r="A569" s="41"/>
      <c r="B569" s="31"/>
      <c r="C569" s="40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4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6"/>
      <c r="AM569" s="37"/>
    </row>
    <row r="570">
      <c r="A570" s="41"/>
      <c r="B570" s="31"/>
      <c r="C570" s="40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4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6"/>
      <c r="AM570" s="37"/>
    </row>
    <row r="571">
      <c r="A571" s="41"/>
      <c r="B571" s="31"/>
      <c r="C571" s="40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4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6"/>
      <c r="AM571" s="37"/>
    </row>
    <row r="572">
      <c r="A572" s="41"/>
      <c r="B572" s="31"/>
      <c r="C572" s="40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4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6"/>
      <c r="AM572" s="37"/>
    </row>
    <row r="573">
      <c r="A573" s="41"/>
      <c r="B573" s="31"/>
      <c r="C573" s="40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4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6"/>
      <c r="AM573" s="37"/>
    </row>
    <row r="574">
      <c r="A574" s="41"/>
      <c r="B574" s="31"/>
      <c r="C574" s="4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4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6"/>
      <c r="AM574" s="37"/>
    </row>
    <row r="575">
      <c r="A575" s="41"/>
      <c r="B575" s="31"/>
      <c r="C575" s="40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4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6"/>
      <c r="AM575" s="37"/>
    </row>
    <row r="576">
      <c r="A576" s="41"/>
      <c r="B576" s="31"/>
      <c r="C576" s="40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4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6"/>
      <c r="AM576" s="37"/>
    </row>
    <row r="577">
      <c r="A577" s="41"/>
      <c r="B577" s="31"/>
      <c r="C577" s="40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4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6"/>
      <c r="AM577" s="37"/>
    </row>
    <row r="578">
      <c r="A578" s="41"/>
      <c r="B578" s="31"/>
      <c r="C578" s="40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4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6"/>
      <c r="AM578" s="37"/>
    </row>
    <row r="579">
      <c r="A579" s="41"/>
      <c r="B579" s="31"/>
      <c r="C579" s="4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4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6"/>
      <c r="AM579" s="37"/>
    </row>
    <row r="580">
      <c r="A580" s="41"/>
      <c r="B580" s="31"/>
      <c r="C580" s="40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4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6"/>
      <c r="AM580" s="37"/>
    </row>
    <row r="581">
      <c r="A581" s="41"/>
      <c r="B581" s="31"/>
      <c r="C581" s="40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4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6"/>
      <c r="AM581" s="37"/>
    </row>
    <row r="582">
      <c r="A582" s="41"/>
      <c r="B582" s="31"/>
      <c r="C582" s="40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4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6"/>
      <c r="AM582" s="37"/>
    </row>
    <row r="583">
      <c r="A583" s="41"/>
      <c r="B583" s="31"/>
      <c r="C583" s="40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4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6"/>
      <c r="AM583" s="37"/>
    </row>
    <row r="584">
      <c r="A584" s="41"/>
      <c r="B584" s="31"/>
      <c r="C584" s="4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4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6"/>
      <c r="AM584" s="37"/>
    </row>
    <row r="585">
      <c r="A585" s="41"/>
      <c r="B585" s="31"/>
      <c r="C585" s="40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4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6"/>
      <c r="AM585" s="37"/>
    </row>
    <row r="586">
      <c r="A586" s="41"/>
      <c r="B586" s="31"/>
      <c r="C586" s="40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4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6"/>
      <c r="AM586" s="37"/>
    </row>
    <row r="587">
      <c r="A587" s="41"/>
      <c r="B587" s="31"/>
      <c r="C587" s="40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4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6"/>
      <c r="AM587" s="37"/>
    </row>
    <row r="588">
      <c r="A588" s="41"/>
      <c r="B588" s="31"/>
      <c r="C588" s="40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4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6"/>
      <c r="AM588" s="37"/>
    </row>
    <row r="589">
      <c r="A589" s="41"/>
      <c r="B589" s="31"/>
      <c r="C589" s="4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4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6"/>
      <c r="AM589" s="37"/>
    </row>
    <row r="590">
      <c r="A590" s="41"/>
      <c r="B590" s="31"/>
      <c r="C590" s="40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4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6"/>
      <c r="AM590" s="37"/>
    </row>
    <row r="591">
      <c r="A591" s="41"/>
      <c r="B591" s="31"/>
      <c r="C591" s="4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4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6"/>
      <c r="AM591" s="37"/>
    </row>
    <row r="592">
      <c r="A592" s="41"/>
      <c r="B592" s="31"/>
      <c r="C592" s="40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4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6"/>
      <c r="AM592" s="37"/>
    </row>
    <row r="593">
      <c r="A593" s="41"/>
      <c r="B593" s="31"/>
      <c r="C593" s="40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4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6"/>
      <c r="AM593" s="37"/>
    </row>
    <row r="594">
      <c r="A594" s="41"/>
      <c r="B594" s="31"/>
      <c r="C594" s="40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4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6"/>
      <c r="AM594" s="37"/>
    </row>
    <row r="595">
      <c r="A595" s="41"/>
      <c r="B595" s="31"/>
      <c r="C595" s="40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4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6"/>
      <c r="AM595" s="37"/>
    </row>
    <row r="596">
      <c r="A596" s="41"/>
      <c r="B596" s="31"/>
      <c r="C596" s="40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4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6"/>
      <c r="AM596" s="37"/>
    </row>
    <row r="597">
      <c r="A597" s="41"/>
      <c r="B597" s="31"/>
      <c r="C597" s="40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4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6"/>
      <c r="AM597" s="37"/>
    </row>
    <row r="598">
      <c r="A598" s="41"/>
      <c r="B598" s="31"/>
      <c r="C598" s="40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4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6"/>
      <c r="AM598" s="37"/>
    </row>
    <row r="599">
      <c r="A599" s="41"/>
      <c r="B599" s="31"/>
      <c r="C599" s="40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4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6"/>
      <c r="AM599" s="37"/>
    </row>
    <row r="600">
      <c r="A600" s="41"/>
      <c r="B600" s="31"/>
      <c r="C600" s="40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4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6"/>
      <c r="AM600" s="37"/>
    </row>
    <row r="601">
      <c r="A601" s="41"/>
      <c r="B601" s="31"/>
      <c r="C601" s="40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4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6"/>
      <c r="AM601" s="37"/>
    </row>
    <row r="602">
      <c r="A602" s="41"/>
      <c r="B602" s="31"/>
      <c r="C602" s="40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4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6"/>
      <c r="AM602" s="37"/>
    </row>
    <row r="603">
      <c r="A603" s="41"/>
      <c r="B603" s="31"/>
      <c r="C603" s="40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4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6"/>
      <c r="AM603" s="37"/>
    </row>
    <row r="604">
      <c r="A604" s="41"/>
      <c r="B604" s="31"/>
      <c r="C604" s="40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4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6"/>
      <c r="AM604" s="37"/>
    </row>
    <row r="605">
      <c r="A605" s="41"/>
      <c r="B605" s="31"/>
      <c r="C605" s="40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4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6"/>
      <c r="AM605" s="37"/>
    </row>
    <row r="606">
      <c r="A606" s="41"/>
      <c r="B606" s="31"/>
      <c r="C606" s="40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4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6"/>
      <c r="AM606" s="37"/>
    </row>
    <row r="607">
      <c r="A607" s="41"/>
      <c r="B607" s="31"/>
      <c r="C607" s="40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4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6"/>
      <c r="AM607" s="37"/>
    </row>
    <row r="608">
      <c r="A608" s="41"/>
      <c r="B608" s="31"/>
      <c r="C608" s="4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4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6"/>
      <c r="AM608" s="37"/>
    </row>
    <row r="609">
      <c r="A609" s="41"/>
      <c r="B609" s="31"/>
      <c r="C609" s="40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4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6"/>
      <c r="AM609" s="37"/>
    </row>
    <row r="610">
      <c r="A610" s="41"/>
      <c r="B610" s="31"/>
      <c r="C610" s="40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4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6"/>
      <c r="AM610" s="37"/>
    </row>
    <row r="611">
      <c r="A611" s="41"/>
      <c r="B611" s="31"/>
      <c r="C611" s="40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4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6"/>
      <c r="AM611" s="37"/>
    </row>
    <row r="612">
      <c r="A612" s="41"/>
      <c r="B612" s="31"/>
      <c r="C612" s="40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4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6"/>
      <c r="AM612" s="37"/>
    </row>
    <row r="613">
      <c r="A613" s="41"/>
      <c r="B613" s="31"/>
      <c r="C613" s="40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4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6"/>
      <c r="AM613" s="37"/>
    </row>
    <row r="614">
      <c r="A614" s="41"/>
      <c r="B614" s="31"/>
      <c r="C614" s="40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4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6"/>
      <c r="AM614" s="37"/>
    </row>
    <row r="615">
      <c r="A615" s="41"/>
      <c r="B615" s="31"/>
      <c r="C615" s="40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4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6"/>
      <c r="AM615" s="37"/>
    </row>
    <row r="616">
      <c r="A616" s="41"/>
      <c r="B616" s="31"/>
      <c r="C616" s="40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4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6"/>
      <c r="AM616" s="37"/>
    </row>
    <row r="617">
      <c r="A617" s="41"/>
      <c r="B617" s="31"/>
      <c r="C617" s="40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4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6"/>
      <c r="AM617" s="37"/>
    </row>
    <row r="618">
      <c r="A618" s="41"/>
      <c r="B618" s="31"/>
      <c r="C618" s="40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4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6"/>
      <c r="AM618" s="37"/>
    </row>
    <row r="619">
      <c r="A619" s="41"/>
      <c r="B619" s="31"/>
      <c r="C619" s="4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4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6"/>
      <c r="AM619" s="37"/>
    </row>
    <row r="620">
      <c r="A620" s="41"/>
      <c r="B620" s="31"/>
      <c r="C620" s="40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4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6"/>
      <c r="AM620" s="37"/>
    </row>
    <row r="621">
      <c r="A621" s="41"/>
      <c r="B621" s="31"/>
      <c r="C621" s="40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4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6"/>
      <c r="AM621" s="37"/>
    </row>
    <row r="622">
      <c r="A622" s="41"/>
      <c r="B622" s="31"/>
      <c r="C622" s="40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4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6"/>
      <c r="AM622" s="37"/>
    </row>
    <row r="623">
      <c r="A623" s="41"/>
      <c r="B623" s="31"/>
      <c r="C623" s="40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4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6"/>
      <c r="AM623" s="37"/>
    </row>
    <row r="624">
      <c r="A624" s="41"/>
      <c r="B624" s="31"/>
      <c r="C624" s="40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4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6"/>
      <c r="AM624" s="37"/>
    </row>
    <row r="625">
      <c r="A625" s="41"/>
      <c r="B625" s="31"/>
      <c r="C625" s="40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4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6"/>
      <c r="AM625" s="37"/>
    </row>
    <row r="626">
      <c r="A626" s="41"/>
      <c r="B626" s="31"/>
      <c r="C626" s="40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4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6"/>
      <c r="AM626" s="37"/>
    </row>
    <row r="627">
      <c r="A627" s="41"/>
      <c r="B627" s="31"/>
      <c r="C627" s="40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4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6"/>
      <c r="AM627" s="37"/>
    </row>
    <row r="628">
      <c r="A628" s="41"/>
      <c r="B628" s="31"/>
      <c r="C628" s="40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4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6"/>
      <c r="AM628" s="37"/>
    </row>
    <row r="629">
      <c r="A629" s="41"/>
      <c r="B629" s="31"/>
      <c r="C629" s="40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4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6"/>
      <c r="AM629" s="37"/>
    </row>
    <row r="630">
      <c r="A630" s="41"/>
      <c r="B630" s="31"/>
      <c r="C630" s="40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4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6"/>
      <c r="AM630" s="37"/>
    </row>
    <row r="631">
      <c r="A631" s="41"/>
      <c r="B631" s="31"/>
      <c r="C631" s="40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4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6"/>
      <c r="AM631" s="37"/>
    </row>
    <row r="632">
      <c r="A632" s="41"/>
      <c r="B632" s="31"/>
      <c r="C632" s="40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4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6"/>
      <c r="AM632" s="37"/>
    </row>
    <row r="633">
      <c r="A633" s="41"/>
      <c r="B633" s="31"/>
      <c r="C633" s="40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4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6"/>
      <c r="AM633" s="37"/>
    </row>
    <row r="634">
      <c r="A634" s="41"/>
      <c r="B634" s="31"/>
      <c r="C634" s="40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4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6"/>
      <c r="AM634" s="37"/>
    </row>
    <row r="635">
      <c r="A635" s="41"/>
      <c r="B635" s="31"/>
      <c r="C635" s="40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4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6"/>
      <c r="AM635" s="37"/>
    </row>
    <row r="636">
      <c r="A636" s="41"/>
      <c r="B636" s="31"/>
      <c r="C636" s="40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4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6"/>
      <c r="AM636" s="37"/>
    </row>
    <row r="637">
      <c r="A637" s="41"/>
      <c r="B637" s="31"/>
      <c r="C637" s="40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4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6"/>
      <c r="AM637" s="37"/>
    </row>
    <row r="638">
      <c r="A638" s="41"/>
      <c r="B638" s="31"/>
      <c r="C638" s="40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4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6"/>
      <c r="AM638" s="37"/>
    </row>
    <row r="639">
      <c r="A639" s="41"/>
      <c r="B639" s="31"/>
      <c r="C639" s="40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4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6"/>
      <c r="AM639" s="37"/>
    </row>
    <row r="640">
      <c r="A640" s="41"/>
      <c r="B640" s="31"/>
      <c r="C640" s="40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4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6"/>
      <c r="AM640" s="37"/>
    </row>
    <row r="641">
      <c r="A641" s="41"/>
      <c r="B641" s="31"/>
      <c r="C641" s="40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4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6"/>
      <c r="AM641" s="37"/>
    </row>
    <row r="642">
      <c r="A642" s="41"/>
      <c r="B642" s="31"/>
      <c r="C642" s="40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4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6"/>
      <c r="AM642" s="37"/>
    </row>
    <row r="643">
      <c r="A643" s="41"/>
      <c r="B643" s="31"/>
      <c r="C643" s="40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4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6"/>
      <c r="AM643" s="37"/>
    </row>
    <row r="644">
      <c r="A644" s="41"/>
      <c r="B644" s="31"/>
      <c r="C644" s="40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4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6"/>
      <c r="AM644" s="37"/>
    </row>
    <row r="645">
      <c r="A645" s="41"/>
      <c r="B645" s="31"/>
      <c r="C645" s="40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4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6"/>
      <c r="AM645" s="37"/>
    </row>
    <row r="646">
      <c r="A646" s="41"/>
      <c r="B646" s="31"/>
      <c r="C646" s="40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4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6"/>
      <c r="AM646" s="37"/>
    </row>
    <row r="647">
      <c r="A647" s="41"/>
      <c r="B647" s="31"/>
      <c r="C647" s="40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4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6"/>
      <c r="AM647" s="37"/>
    </row>
    <row r="648">
      <c r="A648" s="41"/>
      <c r="B648" s="31"/>
      <c r="C648" s="40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4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6"/>
      <c r="AM648" s="37"/>
    </row>
    <row r="649">
      <c r="A649" s="41"/>
      <c r="B649" s="31"/>
      <c r="C649" s="40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4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6"/>
      <c r="AM649" s="37"/>
    </row>
    <row r="650">
      <c r="A650" s="41"/>
      <c r="B650" s="31"/>
      <c r="C650" s="40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4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6"/>
      <c r="AM650" s="37"/>
    </row>
    <row r="651">
      <c r="A651" s="41"/>
      <c r="B651" s="31"/>
      <c r="C651" s="40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4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6"/>
      <c r="AM651" s="37"/>
    </row>
    <row r="652">
      <c r="A652" s="41"/>
      <c r="B652" s="31"/>
      <c r="C652" s="40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4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6"/>
      <c r="AM652" s="37"/>
    </row>
    <row r="653">
      <c r="A653" s="41"/>
      <c r="B653" s="31"/>
      <c r="C653" s="40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4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6"/>
      <c r="AM653" s="37"/>
    </row>
    <row r="654">
      <c r="A654" s="41"/>
      <c r="B654" s="31"/>
      <c r="C654" s="40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4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6"/>
      <c r="AM654" s="37"/>
    </row>
    <row r="655">
      <c r="A655" s="41"/>
      <c r="B655" s="31"/>
      <c r="C655" s="40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4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6"/>
      <c r="AM655" s="37"/>
    </row>
    <row r="656">
      <c r="A656" s="41"/>
      <c r="B656" s="31"/>
      <c r="C656" s="40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4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6"/>
      <c r="AM656" s="37"/>
    </row>
    <row r="657">
      <c r="A657" s="41"/>
      <c r="B657" s="31"/>
      <c r="C657" s="40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4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6"/>
      <c r="AM657" s="37"/>
    </row>
    <row r="658">
      <c r="A658" s="41"/>
      <c r="B658" s="31"/>
      <c r="C658" s="40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4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6"/>
      <c r="AM658" s="37"/>
    </row>
    <row r="659">
      <c r="A659" s="41"/>
      <c r="B659" s="31"/>
      <c r="C659" s="40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4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6"/>
      <c r="AM659" s="37"/>
    </row>
    <row r="660">
      <c r="A660" s="41"/>
      <c r="B660" s="31"/>
      <c r="C660" s="40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4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6"/>
      <c r="AM660" s="37"/>
    </row>
    <row r="661">
      <c r="A661" s="41"/>
      <c r="B661" s="31"/>
      <c r="C661" s="40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4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6"/>
      <c r="AM661" s="37"/>
    </row>
    <row r="662">
      <c r="A662" s="41"/>
      <c r="B662" s="31"/>
      <c r="C662" s="40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4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6"/>
      <c r="AM662" s="37"/>
    </row>
    <row r="663">
      <c r="A663" s="41"/>
      <c r="B663" s="31"/>
      <c r="C663" s="40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4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6"/>
      <c r="AM663" s="37"/>
    </row>
    <row r="664">
      <c r="A664" s="41"/>
      <c r="B664" s="31"/>
      <c r="C664" s="40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4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6"/>
      <c r="AM664" s="37"/>
    </row>
    <row r="665">
      <c r="A665" s="41"/>
      <c r="B665" s="31"/>
      <c r="C665" s="40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4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6"/>
      <c r="AM665" s="37"/>
    </row>
    <row r="666">
      <c r="A666" s="41"/>
      <c r="B666" s="31"/>
      <c r="C666" s="40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4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6"/>
      <c r="AM666" s="37"/>
    </row>
    <row r="667">
      <c r="A667" s="41"/>
      <c r="B667" s="31"/>
      <c r="C667" s="40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4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6"/>
      <c r="AM667" s="37"/>
    </row>
    <row r="668">
      <c r="A668" s="41"/>
      <c r="B668" s="31"/>
      <c r="C668" s="40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4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6"/>
      <c r="AM668" s="37"/>
    </row>
    <row r="669">
      <c r="A669" s="41"/>
      <c r="B669" s="31"/>
      <c r="C669" s="40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4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6"/>
      <c r="AM669" s="37"/>
    </row>
    <row r="670">
      <c r="A670" s="41"/>
      <c r="B670" s="31"/>
      <c r="C670" s="40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4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6"/>
      <c r="AM670" s="37"/>
    </row>
    <row r="671">
      <c r="A671" s="41"/>
      <c r="B671" s="31"/>
      <c r="C671" s="40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4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6"/>
      <c r="AM671" s="37"/>
    </row>
    <row r="672">
      <c r="A672" s="41"/>
      <c r="B672" s="31"/>
      <c r="C672" s="40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4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6"/>
      <c r="AM672" s="37"/>
    </row>
    <row r="673">
      <c r="A673" s="41"/>
      <c r="B673" s="31"/>
      <c r="C673" s="40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4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6"/>
      <c r="AM673" s="37"/>
    </row>
    <row r="674">
      <c r="A674" s="41"/>
      <c r="B674" s="31"/>
      <c r="C674" s="40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4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6"/>
      <c r="AM674" s="37"/>
    </row>
    <row r="675">
      <c r="A675" s="41"/>
      <c r="B675" s="31"/>
      <c r="C675" s="40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4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6"/>
      <c r="AM675" s="37"/>
    </row>
    <row r="676">
      <c r="A676" s="41"/>
      <c r="B676" s="31"/>
      <c r="C676" s="40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4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6"/>
      <c r="AM676" s="37"/>
    </row>
    <row r="677">
      <c r="A677" s="41"/>
      <c r="B677" s="31"/>
      <c r="C677" s="40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4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6"/>
      <c r="AM677" s="37"/>
    </row>
    <row r="678">
      <c r="A678" s="41"/>
      <c r="B678" s="31"/>
      <c r="C678" s="40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4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6"/>
      <c r="AM678" s="37"/>
    </row>
    <row r="679">
      <c r="A679" s="41"/>
      <c r="B679" s="31"/>
      <c r="C679" s="40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4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6"/>
      <c r="AM679" s="37"/>
    </row>
    <row r="680">
      <c r="A680" s="41"/>
      <c r="B680" s="31"/>
      <c r="C680" s="40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4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6"/>
      <c r="AM680" s="37"/>
    </row>
    <row r="681">
      <c r="A681" s="41"/>
      <c r="B681" s="31"/>
      <c r="C681" s="40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4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6"/>
      <c r="AM681" s="37"/>
    </row>
    <row r="682">
      <c r="A682" s="41"/>
      <c r="B682" s="31"/>
      <c r="C682" s="40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4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6"/>
      <c r="AM682" s="37"/>
    </row>
    <row r="683">
      <c r="A683" s="41"/>
      <c r="B683" s="31"/>
      <c r="C683" s="40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4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6"/>
      <c r="AM683" s="37"/>
    </row>
    <row r="684">
      <c r="A684" s="41"/>
      <c r="B684" s="31"/>
      <c r="C684" s="40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4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6"/>
      <c r="AM684" s="37"/>
    </row>
    <row r="685">
      <c r="A685" s="41"/>
      <c r="B685" s="31"/>
      <c r="C685" s="40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4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6"/>
      <c r="AM685" s="37"/>
    </row>
    <row r="686">
      <c r="A686" s="41"/>
      <c r="B686" s="31"/>
      <c r="C686" s="40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4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6"/>
      <c r="AM686" s="37"/>
    </row>
    <row r="687">
      <c r="A687" s="41"/>
      <c r="B687" s="31"/>
      <c r="C687" s="40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4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6"/>
      <c r="AM687" s="37"/>
    </row>
    <row r="688">
      <c r="A688" s="41"/>
      <c r="B688" s="31"/>
      <c r="C688" s="40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4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6"/>
      <c r="AM688" s="37"/>
    </row>
    <row r="689">
      <c r="A689" s="41"/>
      <c r="B689" s="31"/>
      <c r="C689" s="40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4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6"/>
      <c r="AM689" s="37"/>
    </row>
    <row r="690">
      <c r="A690" s="41"/>
      <c r="B690" s="31"/>
      <c r="C690" s="40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4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6"/>
      <c r="AM690" s="37"/>
    </row>
    <row r="691">
      <c r="A691" s="41"/>
      <c r="B691" s="31"/>
      <c r="C691" s="40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4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6"/>
      <c r="AM691" s="37"/>
    </row>
    <row r="692">
      <c r="A692" s="41"/>
      <c r="B692" s="31"/>
      <c r="C692" s="40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4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6"/>
      <c r="AM692" s="37"/>
    </row>
    <row r="693">
      <c r="A693" s="41"/>
      <c r="B693" s="31"/>
      <c r="C693" s="40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4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6"/>
      <c r="AM693" s="37"/>
    </row>
    <row r="694">
      <c r="A694" s="41"/>
      <c r="B694" s="31"/>
      <c r="C694" s="40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4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6"/>
      <c r="AM694" s="37"/>
    </row>
    <row r="695">
      <c r="A695" s="41"/>
      <c r="B695" s="31"/>
      <c r="C695" s="40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4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6"/>
      <c r="AM695" s="37"/>
    </row>
    <row r="696">
      <c r="A696" s="41"/>
      <c r="B696" s="31"/>
      <c r="C696" s="40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4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6"/>
      <c r="AM696" s="37"/>
    </row>
    <row r="697">
      <c r="A697" s="41"/>
      <c r="B697" s="31"/>
      <c r="C697" s="40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4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6"/>
      <c r="AM697" s="37"/>
    </row>
    <row r="698">
      <c r="A698" s="41"/>
      <c r="B698" s="31"/>
      <c r="C698" s="40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4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6"/>
      <c r="AM698" s="37"/>
    </row>
    <row r="699">
      <c r="A699" s="41"/>
      <c r="B699" s="31"/>
      <c r="C699" s="40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4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6"/>
      <c r="AM699" s="37"/>
    </row>
    <row r="700">
      <c r="A700" s="41"/>
      <c r="B700" s="31"/>
      <c r="C700" s="40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4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6"/>
      <c r="AM700" s="37"/>
    </row>
    <row r="701">
      <c r="A701" s="41"/>
      <c r="B701" s="31"/>
      <c r="C701" s="40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4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6"/>
      <c r="AM701" s="37"/>
    </row>
    <row r="702">
      <c r="A702" s="41"/>
      <c r="B702" s="31"/>
      <c r="C702" s="40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4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6"/>
      <c r="AM702" s="37"/>
    </row>
    <row r="703">
      <c r="A703" s="41"/>
      <c r="B703" s="31"/>
      <c r="C703" s="40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4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6"/>
      <c r="AM703" s="37"/>
    </row>
    <row r="704">
      <c r="A704" s="41"/>
      <c r="B704" s="31"/>
      <c r="C704" s="40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4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6"/>
      <c r="AM704" s="37"/>
    </row>
    <row r="705">
      <c r="A705" s="41"/>
      <c r="B705" s="31"/>
      <c r="C705" s="40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4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6"/>
      <c r="AM705" s="37"/>
    </row>
    <row r="706">
      <c r="A706" s="41"/>
      <c r="B706" s="31"/>
      <c r="C706" s="40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4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6"/>
      <c r="AM706" s="37"/>
    </row>
    <row r="707">
      <c r="A707" s="41"/>
      <c r="B707" s="31"/>
      <c r="C707" s="40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4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6"/>
      <c r="AM707" s="37"/>
    </row>
    <row r="708">
      <c r="A708" s="41"/>
      <c r="B708" s="31"/>
      <c r="C708" s="40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4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6"/>
      <c r="AM708" s="37"/>
    </row>
    <row r="709">
      <c r="A709" s="41"/>
      <c r="B709" s="31"/>
      <c r="C709" s="40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4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6"/>
      <c r="AM709" s="37"/>
    </row>
    <row r="710">
      <c r="A710" s="41"/>
      <c r="B710" s="31"/>
      <c r="C710" s="40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4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6"/>
      <c r="AM710" s="37"/>
    </row>
    <row r="711">
      <c r="A711" s="41"/>
      <c r="B711" s="31"/>
      <c r="C711" s="40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4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6"/>
      <c r="AM711" s="37"/>
    </row>
    <row r="712">
      <c r="A712" s="41"/>
      <c r="B712" s="31"/>
      <c r="C712" s="40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4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6"/>
      <c r="AM712" s="37"/>
    </row>
    <row r="713">
      <c r="A713" s="41"/>
      <c r="B713" s="31"/>
      <c r="C713" s="40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4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6"/>
      <c r="AM713" s="37"/>
    </row>
    <row r="714">
      <c r="A714" s="41"/>
      <c r="B714" s="31"/>
      <c r="C714" s="40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4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6"/>
      <c r="AM714" s="37"/>
    </row>
    <row r="715">
      <c r="A715" s="41"/>
      <c r="B715" s="31"/>
      <c r="C715" s="40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4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6"/>
      <c r="AM715" s="37"/>
    </row>
    <row r="716">
      <c r="A716" s="41"/>
      <c r="B716" s="31"/>
      <c r="C716" s="40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4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6"/>
      <c r="AM716" s="37"/>
    </row>
    <row r="717">
      <c r="A717" s="41"/>
      <c r="B717" s="31"/>
      <c r="C717" s="40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4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6"/>
      <c r="AM717" s="37"/>
    </row>
    <row r="718">
      <c r="A718" s="41"/>
      <c r="B718" s="31"/>
      <c r="C718" s="40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4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6"/>
      <c r="AM718" s="37"/>
    </row>
    <row r="719">
      <c r="A719" s="41"/>
      <c r="B719" s="31"/>
      <c r="C719" s="40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4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6"/>
      <c r="AM719" s="37"/>
    </row>
    <row r="720">
      <c r="A720" s="41"/>
      <c r="B720" s="31"/>
      <c r="C720" s="40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4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6"/>
      <c r="AM720" s="37"/>
    </row>
    <row r="721">
      <c r="A721" s="41"/>
      <c r="B721" s="31"/>
      <c r="C721" s="40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4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6"/>
      <c r="AM721" s="37"/>
    </row>
    <row r="722">
      <c r="A722" s="41"/>
      <c r="B722" s="31"/>
      <c r="C722" s="40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4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6"/>
      <c r="AM722" s="37"/>
    </row>
    <row r="723">
      <c r="A723" s="41"/>
      <c r="B723" s="31"/>
      <c r="C723" s="40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4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6"/>
      <c r="AM723" s="37"/>
    </row>
    <row r="724">
      <c r="A724" s="41"/>
      <c r="B724" s="31"/>
      <c r="C724" s="40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4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6"/>
      <c r="AM724" s="37"/>
    </row>
    <row r="725">
      <c r="A725" s="41"/>
      <c r="B725" s="31"/>
      <c r="C725" s="40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4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6"/>
      <c r="AM725" s="37"/>
    </row>
    <row r="726">
      <c r="A726" s="41"/>
      <c r="B726" s="31"/>
      <c r="C726" s="40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4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6"/>
      <c r="AM726" s="37"/>
    </row>
    <row r="727">
      <c r="A727" s="41"/>
      <c r="B727" s="31"/>
      <c r="C727" s="40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4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6"/>
      <c r="AM727" s="37"/>
    </row>
    <row r="728">
      <c r="A728" s="41"/>
      <c r="B728" s="31"/>
      <c r="C728" s="40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4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6"/>
      <c r="AM728" s="37"/>
    </row>
    <row r="729">
      <c r="A729" s="41"/>
      <c r="B729" s="31"/>
      <c r="C729" s="40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4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6"/>
      <c r="AM729" s="37"/>
    </row>
    <row r="730">
      <c r="A730" s="41"/>
      <c r="B730" s="31"/>
      <c r="C730" s="40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4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6"/>
      <c r="AM730" s="37"/>
    </row>
    <row r="731">
      <c r="A731" s="41"/>
      <c r="B731" s="31"/>
      <c r="C731" s="40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4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6"/>
      <c r="AM731" s="37"/>
    </row>
    <row r="732">
      <c r="A732" s="41"/>
      <c r="B732" s="31"/>
      <c r="C732" s="40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4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6"/>
      <c r="AM732" s="37"/>
    </row>
    <row r="733">
      <c r="A733" s="41"/>
      <c r="B733" s="31"/>
      <c r="C733" s="40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4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6"/>
      <c r="AM733" s="37"/>
    </row>
    <row r="734">
      <c r="A734" s="41"/>
      <c r="B734" s="31"/>
      <c r="C734" s="40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4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6"/>
      <c r="AM734" s="37"/>
    </row>
    <row r="735">
      <c r="A735" s="41"/>
      <c r="B735" s="31"/>
      <c r="C735" s="40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4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6"/>
      <c r="AM735" s="37"/>
    </row>
    <row r="736">
      <c r="A736" s="41"/>
      <c r="B736" s="31"/>
      <c r="C736" s="40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4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6"/>
      <c r="AM736" s="37"/>
    </row>
    <row r="737">
      <c r="A737" s="41"/>
      <c r="B737" s="31"/>
      <c r="C737" s="40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4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6"/>
      <c r="AM737" s="37"/>
    </row>
    <row r="738">
      <c r="A738" s="41"/>
      <c r="B738" s="31"/>
      <c r="C738" s="40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4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6"/>
      <c r="AM738" s="37"/>
    </row>
    <row r="739">
      <c r="A739" s="41"/>
      <c r="B739" s="31"/>
      <c r="C739" s="40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4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6"/>
      <c r="AM739" s="37"/>
    </row>
    <row r="740">
      <c r="A740" s="41"/>
      <c r="B740" s="31"/>
      <c r="C740" s="40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4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6"/>
      <c r="AM740" s="37"/>
    </row>
    <row r="741">
      <c r="A741" s="41"/>
      <c r="B741" s="31"/>
      <c r="C741" s="40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4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6"/>
      <c r="AM741" s="37"/>
    </row>
    <row r="742">
      <c r="A742" s="41"/>
      <c r="B742" s="31"/>
      <c r="C742" s="40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4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6"/>
      <c r="AM742" s="37"/>
    </row>
    <row r="743">
      <c r="A743" s="41"/>
      <c r="B743" s="31"/>
      <c r="C743" s="40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4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6"/>
      <c r="AM743" s="37"/>
    </row>
    <row r="744">
      <c r="A744" s="41"/>
      <c r="B744" s="31"/>
      <c r="C744" s="40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4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6"/>
      <c r="AM744" s="37"/>
    </row>
    <row r="745">
      <c r="A745" s="41"/>
      <c r="B745" s="31"/>
      <c r="C745" s="40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4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6"/>
      <c r="AM745" s="37"/>
    </row>
    <row r="746">
      <c r="A746" s="41"/>
      <c r="B746" s="31"/>
      <c r="C746" s="40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4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6"/>
      <c r="AM746" s="37"/>
    </row>
    <row r="747">
      <c r="A747" s="41"/>
      <c r="B747" s="31"/>
      <c r="C747" s="40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4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6"/>
      <c r="AM747" s="37"/>
    </row>
    <row r="748">
      <c r="A748" s="41"/>
      <c r="B748" s="31"/>
      <c r="C748" s="40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4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6"/>
      <c r="AM748" s="37"/>
    </row>
    <row r="749">
      <c r="A749" s="41"/>
      <c r="B749" s="31"/>
      <c r="C749" s="40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4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6"/>
      <c r="AM749" s="37"/>
    </row>
    <row r="750">
      <c r="A750" s="41"/>
      <c r="B750" s="31"/>
      <c r="C750" s="40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4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6"/>
      <c r="AM750" s="37"/>
    </row>
    <row r="751">
      <c r="A751" s="41"/>
      <c r="B751" s="31"/>
      <c r="C751" s="40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4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6"/>
      <c r="AM751" s="37"/>
    </row>
    <row r="752">
      <c r="A752" s="41"/>
      <c r="B752" s="31"/>
      <c r="C752" s="40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4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6"/>
      <c r="AM752" s="37"/>
    </row>
    <row r="753">
      <c r="A753" s="41"/>
      <c r="B753" s="31"/>
      <c r="C753" s="40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4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6"/>
      <c r="AM753" s="37"/>
    </row>
    <row r="754">
      <c r="A754" s="41"/>
      <c r="B754" s="31"/>
      <c r="C754" s="40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4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6"/>
      <c r="AM754" s="37"/>
    </row>
    <row r="755">
      <c r="A755" s="41"/>
      <c r="B755" s="31"/>
      <c r="C755" s="40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4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6"/>
      <c r="AM755" s="37"/>
    </row>
    <row r="756">
      <c r="A756" s="41"/>
      <c r="B756" s="31"/>
      <c r="C756" s="40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4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6"/>
      <c r="AM756" s="37"/>
    </row>
    <row r="757">
      <c r="A757" s="41"/>
      <c r="B757" s="31"/>
      <c r="C757" s="40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4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6"/>
      <c r="AM757" s="37"/>
    </row>
    <row r="758">
      <c r="A758" s="41"/>
      <c r="B758" s="31"/>
      <c r="C758" s="40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4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6"/>
      <c r="AM758" s="37"/>
    </row>
    <row r="759">
      <c r="A759" s="41"/>
      <c r="B759" s="31"/>
      <c r="C759" s="40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4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6"/>
      <c r="AM759" s="37"/>
    </row>
    <row r="760">
      <c r="A760" s="41"/>
      <c r="B760" s="31"/>
      <c r="C760" s="40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4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6"/>
      <c r="AM760" s="37"/>
    </row>
    <row r="761">
      <c r="A761" s="41"/>
      <c r="B761" s="31"/>
      <c r="C761" s="40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4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6"/>
      <c r="AM761" s="37"/>
    </row>
    <row r="762">
      <c r="A762" s="41"/>
      <c r="B762" s="31"/>
      <c r="C762" s="40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4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6"/>
      <c r="AM762" s="37"/>
    </row>
    <row r="763">
      <c r="A763" s="41"/>
      <c r="B763" s="31"/>
      <c r="C763" s="40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4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6"/>
      <c r="AM763" s="37"/>
    </row>
    <row r="764">
      <c r="A764" s="41"/>
      <c r="B764" s="31"/>
      <c r="C764" s="40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4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6"/>
      <c r="AM764" s="37"/>
    </row>
    <row r="765">
      <c r="A765" s="41"/>
      <c r="B765" s="31"/>
      <c r="C765" s="40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4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6"/>
      <c r="AM765" s="37"/>
    </row>
    <row r="766">
      <c r="A766" s="41"/>
      <c r="B766" s="31"/>
      <c r="C766" s="40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4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6"/>
      <c r="AM766" s="37"/>
    </row>
    <row r="767">
      <c r="A767" s="41"/>
      <c r="B767" s="31"/>
      <c r="C767" s="40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4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6"/>
      <c r="AM767" s="37"/>
    </row>
    <row r="768">
      <c r="A768" s="41"/>
      <c r="B768" s="31"/>
      <c r="C768" s="40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4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6"/>
      <c r="AM768" s="37"/>
    </row>
    <row r="769">
      <c r="A769" s="41"/>
      <c r="B769" s="31"/>
      <c r="C769" s="40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4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6"/>
      <c r="AM769" s="37"/>
    </row>
    <row r="770">
      <c r="A770" s="41"/>
      <c r="B770" s="31"/>
      <c r="C770" s="40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4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6"/>
      <c r="AM770" s="37"/>
    </row>
    <row r="771">
      <c r="A771" s="41"/>
      <c r="B771" s="31"/>
      <c r="C771" s="40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4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6"/>
      <c r="AM771" s="37"/>
    </row>
    <row r="772">
      <c r="A772" s="41"/>
      <c r="B772" s="31"/>
      <c r="C772" s="40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4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6"/>
      <c r="AM772" s="37"/>
    </row>
    <row r="773">
      <c r="A773" s="41"/>
      <c r="B773" s="31"/>
      <c r="C773" s="40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4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6"/>
      <c r="AM773" s="37"/>
    </row>
    <row r="774">
      <c r="A774" s="41"/>
      <c r="B774" s="31"/>
      <c r="C774" s="40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4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6"/>
      <c r="AM774" s="37"/>
    </row>
    <row r="775">
      <c r="A775" s="41"/>
      <c r="B775" s="31"/>
      <c r="C775" s="40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4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6"/>
      <c r="AM775" s="37"/>
    </row>
    <row r="776">
      <c r="A776" s="41"/>
      <c r="B776" s="31"/>
      <c r="C776" s="40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4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6"/>
      <c r="AM776" s="37"/>
    </row>
    <row r="777">
      <c r="A777" s="41"/>
      <c r="B777" s="31"/>
      <c r="C777" s="40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4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6"/>
      <c r="AM777" s="37"/>
    </row>
    <row r="778">
      <c r="A778" s="41"/>
      <c r="B778" s="31"/>
      <c r="C778" s="40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4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6"/>
      <c r="AM778" s="37"/>
    </row>
    <row r="779">
      <c r="A779" s="41"/>
      <c r="B779" s="31"/>
      <c r="C779" s="40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4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6"/>
      <c r="AM779" s="37"/>
    </row>
    <row r="780">
      <c r="A780" s="41"/>
      <c r="B780" s="31"/>
      <c r="C780" s="40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4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6"/>
      <c r="AM780" s="37"/>
    </row>
    <row r="781">
      <c r="A781" s="41"/>
      <c r="B781" s="31"/>
      <c r="C781" s="40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4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6"/>
      <c r="AM781" s="37"/>
    </row>
    <row r="782">
      <c r="A782" s="41"/>
      <c r="B782" s="31"/>
      <c r="C782" s="40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4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6"/>
      <c r="AM782" s="37"/>
    </row>
    <row r="783">
      <c r="A783" s="41"/>
      <c r="B783" s="31"/>
      <c r="C783" s="40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4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6"/>
      <c r="AM783" s="37"/>
    </row>
    <row r="784">
      <c r="A784" s="41"/>
      <c r="B784" s="31"/>
      <c r="C784" s="40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4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6"/>
      <c r="AM784" s="37"/>
    </row>
    <row r="785">
      <c r="A785" s="41"/>
      <c r="B785" s="31"/>
      <c r="C785" s="40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4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6"/>
      <c r="AM785" s="37"/>
    </row>
    <row r="786">
      <c r="A786" s="41"/>
      <c r="B786" s="31"/>
      <c r="C786" s="40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4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6"/>
      <c r="AM786" s="37"/>
    </row>
    <row r="787">
      <c r="A787" s="41"/>
      <c r="B787" s="31"/>
      <c r="C787" s="40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4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6"/>
      <c r="AM787" s="37"/>
    </row>
    <row r="788">
      <c r="A788" s="41"/>
      <c r="B788" s="31"/>
      <c r="C788" s="40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4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6"/>
      <c r="AM788" s="37"/>
    </row>
    <row r="789">
      <c r="A789" s="41"/>
      <c r="B789" s="31"/>
      <c r="C789" s="40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4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6"/>
      <c r="AM789" s="37"/>
    </row>
    <row r="790">
      <c r="A790" s="41"/>
      <c r="B790" s="31"/>
      <c r="C790" s="40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4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6"/>
      <c r="AM790" s="37"/>
    </row>
    <row r="791">
      <c r="A791" s="41"/>
      <c r="B791" s="31"/>
      <c r="C791" s="40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4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6"/>
      <c r="AM791" s="37"/>
    </row>
    <row r="792">
      <c r="A792" s="41"/>
      <c r="B792" s="31"/>
      <c r="C792" s="40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4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6"/>
      <c r="AM792" s="37"/>
    </row>
    <row r="793">
      <c r="A793" s="41"/>
      <c r="B793" s="31"/>
      <c r="C793" s="40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4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6"/>
      <c r="AM793" s="37"/>
    </row>
    <row r="794">
      <c r="A794" s="41"/>
      <c r="B794" s="31"/>
      <c r="C794" s="40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4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6"/>
      <c r="AM794" s="37"/>
    </row>
    <row r="795">
      <c r="A795" s="41"/>
      <c r="B795" s="31"/>
      <c r="C795" s="40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4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6"/>
      <c r="AM795" s="37"/>
    </row>
    <row r="796">
      <c r="A796" s="41"/>
      <c r="B796" s="31"/>
      <c r="C796" s="40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4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6"/>
      <c r="AM796" s="37"/>
    </row>
    <row r="797">
      <c r="A797" s="41"/>
      <c r="B797" s="31"/>
      <c r="C797" s="40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4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6"/>
      <c r="AM797" s="37"/>
    </row>
    <row r="798">
      <c r="A798" s="41"/>
      <c r="B798" s="31"/>
      <c r="C798" s="40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4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6"/>
      <c r="AM798" s="37"/>
    </row>
    <row r="799">
      <c r="A799" s="41"/>
      <c r="B799" s="31"/>
      <c r="C799" s="40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4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6"/>
      <c r="AM799" s="37"/>
    </row>
    <row r="800">
      <c r="A800" s="41"/>
      <c r="B800" s="31"/>
      <c r="C800" s="40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4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6"/>
      <c r="AM800" s="37"/>
    </row>
    <row r="801">
      <c r="A801" s="41"/>
      <c r="B801" s="31"/>
      <c r="C801" s="40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4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6"/>
      <c r="AM801" s="37"/>
    </row>
    <row r="802">
      <c r="A802" s="41"/>
      <c r="B802" s="31"/>
      <c r="C802" s="40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4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6"/>
      <c r="AM802" s="37"/>
    </row>
    <row r="803">
      <c r="A803" s="41"/>
      <c r="B803" s="31"/>
      <c r="C803" s="40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4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6"/>
      <c r="AM803" s="37"/>
    </row>
    <row r="804">
      <c r="A804" s="41"/>
      <c r="B804" s="31"/>
      <c r="C804" s="40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4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6"/>
      <c r="AM804" s="37"/>
    </row>
    <row r="805">
      <c r="A805" s="41"/>
      <c r="B805" s="31"/>
      <c r="C805" s="40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4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6"/>
      <c r="AM805" s="37"/>
    </row>
    <row r="806">
      <c r="A806" s="41"/>
      <c r="B806" s="31"/>
      <c r="C806" s="40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4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6"/>
      <c r="AM806" s="37"/>
    </row>
    <row r="807">
      <c r="A807" s="41"/>
      <c r="B807" s="31"/>
      <c r="C807" s="40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4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6"/>
      <c r="AM807" s="37"/>
    </row>
    <row r="808">
      <c r="A808" s="41"/>
      <c r="B808" s="31"/>
      <c r="C808" s="40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4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6"/>
      <c r="AM808" s="37"/>
    </row>
    <row r="809">
      <c r="A809" s="41"/>
      <c r="B809" s="31"/>
      <c r="C809" s="40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4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6"/>
      <c r="AM809" s="37"/>
    </row>
    <row r="810">
      <c r="A810" s="41"/>
      <c r="B810" s="31"/>
      <c r="C810" s="40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4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6"/>
      <c r="AM810" s="37"/>
    </row>
    <row r="811">
      <c r="A811" s="41"/>
      <c r="B811" s="31"/>
      <c r="C811" s="40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4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6"/>
      <c r="AM811" s="37"/>
    </row>
    <row r="812">
      <c r="A812" s="41"/>
      <c r="B812" s="31"/>
      <c r="C812" s="40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4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6"/>
      <c r="AM812" s="37"/>
    </row>
    <row r="813">
      <c r="A813" s="41"/>
      <c r="B813" s="31"/>
      <c r="C813" s="40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4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6"/>
      <c r="AM813" s="37"/>
    </row>
    <row r="814">
      <c r="A814" s="41"/>
      <c r="B814" s="31"/>
      <c r="C814" s="40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4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6"/>
      <c r="AM814" s="37"/>
    </row>
    <row r="815">
      <c r="A815" s="41"/>
      <c r="B815" s="31"/>
      <c r="C815" s="40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4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6"/>
      <c r="AM815" s="37"/>
    </row>
    <row r="816">
      <c r="A816" s="41"/>
      <c r="B816" s="31"/>
      <c r="C816" s="40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4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6"/>
      <c r="AM816" s="37"/>
    </row>
    <row r="817">
      <c r="A817" s="41"/>
      <c r="B817" s="31"/>
      <c r="C817" s="40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4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6"/>
      <c r="AM817" s="37"/>
    </row>
    <row r="818">
      <c r="A818" s="41"/>
      <c r="B818" s="31"/>
      <c r="C818" s="40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4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6"/>
      <c r="AM818" s="37"/>
    </row>
    <row r="819">
      <c r="A819" s="41"/>
      <c r="B819" s="31"/>
      <c r="C819" s="40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4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6"/>
      <c r="AM819" s="37"/>
    </row>
    <row r="820">
      <c r="A820" s="41"/>
      <c r="B820" s="31"/>
      <c r="C820" s="40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4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6"/>
      <c r="AM820" s="37"/>
    </row>
    <row r="821">
      <c r="A821" s="41"/>
      <c r="B821" s="31"/>
      <c r="C821" s="40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4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6"/>
      <c r="AM821" s="37"/>
    </row>
    <row r="822">
      <c r="A822" s="41"/>
      <c r="B822" s="31"/>
      <c r="C822" s="40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4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6"/>
      <c r="AM822" s="37"/>
    </row>
    <row r="823">
      <c r="A823" s="41"/>
      <c r="B823" s="31"/>
      <c r="C823" s="40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4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6"/>
      <c r="AM823" s="37"/>
    </row>
    <row r="824">
      <c r="A824" s="41"/>
      <c r="B824" s="31"/>
      <c r="C824" s="40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4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6"/>
      <c r="AM824" s="37"/>
    </row>
    <row r="825">
      <c r="A825" s="41"/>
      <c r="B825" s="31"/>
      <c r="C825" s="40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4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6"/>
      <c r="AM825" s="37"/>
    </row>
    <row r="826">
      <c r="A826" s="41"/>
      <c r="B826" s="31"/>
      <c r="C826" s="40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4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6"/>
      <c r="AM826" s="37"/>
    </row>
    <row r="827">
      <c r="A827" s="41"/>
      <c r="B827" s="31"/>
      <c r="C827" s="40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4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6"/>
      <c r="AM827" s="37"/>
    </row>
    <row r="828">
      <c r="A828" s="41"/>
      <c r="B828" s="31"/>
      <c r="C828" s="40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4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6"/>
      <c r="AM828" s="37"/>
    </row>
    <row r="829">
      <c r="A829" s="41"/>
      <c r="B829" s="31"/>
      <c r="C829" s="40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4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6"/>
      <c r="AM829" s="37"/>
    </row>
    <row r="830">
      <c r="A830" s="41"/>
      <c r="B830" s="31"/>
      <c r="C830" s="40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4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6"/>
      <c r="AM830" s="37"/>
    </row>
    <row r="831">
      <c r="A831" s="41"/>
      <c r="B831" s="31"/>
      <c r="C831" s="40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4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6"/>
      <c r="AM831" s="37"/>
    </row>
    <row r="832">
      <c r="A832" s="41"/>
      <c r="B832" s="31"/>
      <c r="C832" s="40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4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6"/>
      <c r="AM832" s="37"/>
    </row>
    <row r="833">
      <c r="A833" s="41"/>
      <c r="B833" s="31"/>
      <c r="C833" s="40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4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6"/>
      <c r="AM833" s="37"/>
    </row>
    <row r="834">
      <c r="A834" s="41"/>
      <c r="B834" s="31"/>
      <c r="C834" s="40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4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6"/>
      <c r="AM834" s="37"/>
    </row>
    <row r="835">
      <c r="A835" s="41"/>
      <c r="B835" s="31"/>
      <c r="C835" s="40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4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6"/>
      <c r="AM835" s="37"/>
    </row>
    <row r="836">
      <c r="A836" s="41"/>
      <c r="B836" s="31"/>
      <c r="C836" s="40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4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6"/>
      <c r="AM836" s="37"/>
    </row>
    <row r="837">
      <c r="A837" s="41"/>
      <c r="B837" s="31"/>
      <c r="C837" s="40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4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6"/>
      <c r="AM837" s="37"/>
    </row>
    <row r="838">
      <c r="A838" s="41"/>
      <c r="B838" s="31"/>
      <c r="C838" s="40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4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6"/>
      <c r="AM838" s="37"/>
    </row>
    <row r="839">
      <c r="A839" s="41"/>
      <c r="B839" s="31"/>
      <c r="C839" s="40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4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6"/>
      <c r="AM839" s="37"/>
    </row>
    <row r="840">
      <c r="A840" s="41"/>
      <c r="B840" s="31"/>
      <c r="C840" s="40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4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6"/>
      <c r="AM840" s="37"/>
    </row>
    <row r="841">
      <c r="A841" s="41"/>
      <c r="B841" s="31"/>
      <c r="C841" s="40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4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6"/>
      <c r="AM841" s="37"/>
    </row>
    <row r="842">
      <c r="A842" s="41"/>
      <c r="B842" s="31"/>
      <c r="C842" s="40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4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6"/>
      <c r="AM842" s="37"/>
    </row>
    <row r="843">
      <c r="A843" s="41"/>
      <c r="B843" s="31"/>
      <c r="C843" s="40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4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6"/>
      <c r="AM843" s="37"/>
    </row>
    <row r="844">
      <c r="A844" s="41"/>
      <c r="B844" s="31"/>
      <c r="C844" s="40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4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6"/>
      <c r="AM844" s="37"/>
    </row>
    <row r="845">
      <c r="A845" s="41"/>
      <c r="B845" s="31"/>
      <c r="C845" s="40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4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6"/>
      <c r="AM845" s="37"/>
    </row>
    <row r="846">
      <c r="A846" s="41"/>
      <c r="B846" s="31"/>
      <c r="C846" s="40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4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6"/>
      <c r="AM846" s="37"/>
    </row>
    <row r="847">
      <c r="A847" s="41"/>
      <c r="B847" s="31"/>
      <c r="C847" s="40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4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6"/>
      <c r="AM847" s="37"/>
    </row>
    <row r="848">
      <c r="A848" s="41"/>
      <c r="B848" s="31"/>
      <c r="C848" s="40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4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6"/>
      <c r="AM848" s="37"/>
    </row>
    <row r="849">
      <c r="A849" s="41"/>
      <c r="B849" s="31"/>
      <c r="C849" s="40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4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6"/>
      <c r="AM849" s="37"/>
    </row>
    <row r="850">
      <c r="A850" s="41"/>
      <c r="B850" s="31"/>
      <c r="C850" s="40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4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6"/>
      <c r="AM850" s="37"/>
    </row>
    <row r="851">
      <c r="A851" s="41"/>
      <c r="B851" s="31"/>
      <c r="C851" s="40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4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6"/>
      <c r="AM851" s="37"/>
    </row>
    <row r="852">
      <c r="A852" s="41"/>
      <c r="B852" s="31"/>
      <c r="C852" s="40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4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6"/>
      <c r="AM852" s="37"/>
    </row>
    <row r="853">
      <c r="A853" s="41"/>
      <c r="B853" s="31"/>
      <c r="C853" s="40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4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6"/>
      <c r="AM853" s="37"/>
    </row>
    <row r="854">
      <c r="A854" s="41"/>
      <c r="B854" s="31"/>
      <c r="C854" s="40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4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6"/>
      <c r="AM854" s="37"/>
    </row>
    <row r="855">
      <c r="A855" s="41"/>
      <c r="B855" s="31"/>
      <c r="C855" s="40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4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6"/>
      <c r="AM855" s="37"/>
    </row>
    <row r="856">
      <c r="A856" s="41"/>
      <c r="B856" s="31"/>
      <c r="C856" s="40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4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6"/>
      <c r="AM856" s="37"/>
    </row>
    <row r="857">
      <c r="A857" s="41"/>
      <c r="B857" s="31"/>
      <c r="C857" s="40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4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6"/>
      <c r="AM857" s="37"/>
    </row>
    <row r="858">
      <c r="A858" s="41"/>
      <c r="B858" s="31"/>
      <c r="C858" s="40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4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6"/>
      <c r="AM858" s="37"/>
    </row>
    <row r="859">
      <c r="A859" s="41"/>
      <c r="B859" s="31"/>
      <c r="C859" s="40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4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6"/>
      <c r="AM859" s="37"/>
    </row>
    <row r="860">
      <c r="A860" s="41"/>
      <c r="B860" s="31"/>
      <c r="C860" s="40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4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6"/>
      <c r="AM860" s="37"/>
    </row>
    <row r="861">
      <c r="A861" s="41"/>
      <c r="B861" s="31"/>
      <c r="C861" s="40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4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6"/>
      <c r="AM861" s="37"/>
    </row>
    <row r="862">
      <c r="A862" s="41"/>
      <c r="B862" s="31"/>
      <c r="C862" s="40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4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6"/>
      <c r="AM862" s="37"/>
    </row>
    <row r="863">
      <c r="A863" s="41"/>
      <c r="B863" s="31"/>
      <c r="C863" s="40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4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6"/>
      <c r="AM863" s="37"/>
    </row>
    <row r="864">
      <c r="A864" s="41"/>
      <c r="B864" s="31"/>
      <c r="C864" s="40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4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6"/>
      <c r="AM864" s="37"/>
    </row>
    <row r="865">
      <c r="A865" s="41"/>
      <c r="B865" s="31"/>
      <c r="C865" s="40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4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6"/>
      <c r="AM865" s="37"/>
    </row>
    <row r="866">
      <c r="A866" s="41"/>
      <c r="B866" s="31"/>
      <c r="C866" s="40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4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6"/>
      <c r="AM866" s="37"/>
    </row>
    <row r="867">
      <c r="A867" s="41"/>
      <c r="B867" s="31"/>
      <c r="C867" s="40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4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6"/>
      <c r="AM867" s="37"/>
    </row>
    <row r="868">
      <c r="A868" s="41"/>
      <c r="B868" s="31"/>
      <c r="C868" s="40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4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6"/>
      <c r="AM868" s="37"/>
    </row>
    <row r="869">
      <c r="A869" s="41"/>
      <c r="B869" s="31"/>
      <c r="C869" s="40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4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6"/>
      <c r="AM869" s="37"/>
    </row>
    <row r="870">
      <c r="A870" s="41"/>
      <c r="B870" s="31"/>
      <c r="C870" s="40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4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6"/>
      <c r="AM870" s="37"/>
    </row>
    <row r="871">
      <c r="A871" s="41"/>
      <c r="B871" s="31"/>
      <c r="C871" s="40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4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6"/>
      <c r="AM871" s="37"/>
    </row>
    <row r="872">
      <c r="A872" s="41"/>
      <c r="B872" s="31"/>
      <c r="C872" s="40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4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6"/>
      <c r="AM872" s="37"/>
    </row>
    <row r="873">
      <c r="A873" s="41"/>
      <c r="B873" s="31"/>
      <c r="C873" s="40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4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6"/>
      <c r="AM873" s="37"/>
    </row>
    <row r="874">
      <c r="A874" s="41"/>
      <c r="B874" s="31"/>
      <c r="C874" s="40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4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6"/>
      <c r="AM874" s="37"/>
    </row>
    <row r="875">
      <c r="A875" s="41"/>
      <c r="B875" s="31"/>
      <c r="C875" s="40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4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6"/>
      <c r="AM875" s="37"/>
    </row>
    <row r="876">
      <c r="A876" s="41"/>
      <c r="B876" s="31"/>
      <c r="C876" s="40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4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6"/>
      <c r="AM876" s="37"/>
    </row>
    <row r="877">
      <c r="A877" s="41"/>
      <c r="B877" s="31"/>
      <c r="C877" s="40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4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6"/>
      <c r="AM877" s="37"/>
    </row>
    <row r="878">
      <c r="A878" s="41"/>
      <c r="B878" s="31"/>
      <c r="C878" s="40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4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6"/>
      <c r="AM878" s="37"/>
    </row>
    <row r="879">
      <c r="A879" s="41"/>
      <c r="B879" s="31"/>
      <c r="C879" s="40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4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6"/>
      <c r="AM879" s="37"/>
    </row>
    <row r="880">
      <c r="A880" s="41"/>
      <c r="B880" s="31"/>
      <c r="C880" s="40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4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6"/>
      <c r="AM880" s="37"/>
    </row>
    <row r="881">
      <c r="A881" s="41"/>
      <c r="B881" s="31"/>
      <c r="C881" s="40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4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6"/>
      <c r="AM881" s="37"/>
    </row>
    <row r="882">
      <c r="A882" s="41"/>
      <c r="B882" s="31"/>
      <c r="C882" s="40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4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6"/>
      <c r="AM882" s="37"/>
    </row>
    <row r="883">
      <c r="A883" s="41"/>
      <c r="B883" s="31"/>
      <c r="C883" s="40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4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6"/>
      <c r="AM883" s="37"/>
    </row>
    <row r="884">
      <c r="A884" s="41"/>
      <c r="B884" s="31"/>
      <c r="C884" s="40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4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6"/>
      <c r="AM884" s="37"/>
    </row>
    <row r="885">
      <c r="A885" s="41"/>
      <c r="B885" s="31"/>
      <c r="C885" s="40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4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6"/>
      <c r="AM885" s="37"/>
    </row>
    <row r="886">
      <c r="A886" s="41"/>
      <c r="B886" s="31"/>
      <c r="C886" s="40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4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6"/>
      <c r="AM886" s="37"/>
    </row>
    <row r="887">
      <c r="A887" s="41"/>
      <c r="B887" s="31"/>
      <c r="C887" s="40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4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6"/>
      <c r="AM887" s="37"/>
    </row>
    <row r="888">
      <c r="A888" s="41"/>
      <c r="B888" s="31"/>
      <c r="C888" s="40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4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6"/>
      <c r="AM888" s="37"/>
    </row>
    <row r="889">
      <c r="A889" s="41"/>
      <c r="B889" s="31"/>
      <c r="C889" s="40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4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6"/>
      <c r="AM889" s="37"/>
    </row>
    <row r="890">
      <c r="A890" s="41"/>
      <c r="B890" s="31"/>
      <c r="C890" s="40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4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6"/>
      <c r="AM890" s="37"/>
    </row>
    <row r="891">
      <c r="A891" s="41"/>
      <c r="B891" s="31"/>
      <c r="C891" s="40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4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6"/>
      <c r="AM891" s="37"/>
    </row>
    <row r="892">
      <c r="A892" s="41"/>
      <c r="B892" s="31"/>
      <c r="C892" s="40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4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6"/>
      <c r="AM892" s="37"/>
    </row>
    <row r="893">
      <c r="A893" s="41"/>
      <c r="B893" s="31"/>
      <c r="C893" s="40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4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6"/>
      <c r="AM893" s="37"/>
    </row>
    <row r="894">
      <c r="A894" s="41"/>
      <c r="B894" s="31"/>
      <c r="C894" s="40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4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6"/>
      <c r="AM894" s="37"/>
    </row>
    <row r="895">
      <c r="A895" s="41"/>
      <c r="B895" s="31"/>
      <c r="C895" s="40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4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6"/>
      <c r="AM895" s="37"/>
    </row>
    <row r="896">
      <c r="A896" s="41"/>
      <c r="B896" s="31"/>
      <c r="C896" s="40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4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6"/>
      <c r="AM896" s="37"/>
    </row>
    <row r="897">
      <c r="A897" s="41"/>
      <c r="B897" s="31"/>
      <c r="C897" s="40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4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6"/>
      <c r="AM897" s="37"/>
    </row>
    <row r="898">
      <c r="A898" s="41"/>
      <c r="B898" s="31"/>
      <c r="C898" s="40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4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6"/>
      <c r="AM898" s="37"/>
    </row>
    <row r="899">
      <c r="A899" s="41"/>
      <c r="B899" s="31"/>
      <c r="C899" s="40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4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6"/>
      <c r="AM899" s="37"/>
    </row>
    <row r="900">
      <c r="A900" s="41"/>
      <c r="B900" s="31"/>
      <c r="C900" s="40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4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6"/>
      <c r="AM900" s="37"/>
    </row>
    <row r="901">
      <c r="A901" s="41"/>
      <c r="B901" s="31"/>
      <c r="C901" s="40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4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6"/>
      <c r="AM901" s="37"/>
    </row>
    <row r="902">
      <c r="A902" s="41"/>
      <c r="B902" s="31"/>
      <c r="C902" s="40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4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6"/>
      <c r="AM902" s="37"/>
    </row>
    <row r="903">
      <c r="A903" s="41"/>
      <c r="B903" s="31"/>
      <c r="C903" s="40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4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6"/>
      <c r="AM903" s="37"/>
    </row>
    <row r="904">
      <c r="A904" s="41"/>
      <c r="B904" s="31"/>
      <c r="C904" s="40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4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6"/>
      <c r="AM904" s="37"/>
    </row>
    <row r="905">
      <c r="A905" s="41"/>
      <c r="B905" s="31"/>
      <c r="C905" s="40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4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6"/>
      <c r="AM905" s="37"/>
    </row>
    <row r="906">
      <c r="A906" s="41"/>
      <c r="B906" s="31"/>
      <c r="C906" s="40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4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6"/>
      <c r="AM906" s="37"/>
    </row>
    <row r="907">
      <c r="A907" s="41"/>
      <c r="B907" s="31"/>
      <c r="C907" s="40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4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6"/>
      <c r="AM907" s="37"/>
    </row>
    <row r="908">
      <c r="A908" s="41"/>
      <c r="B908" s="31"/>
      <c r="C908" s="40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4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6"/>
      <c r="AM908" s="37"/>
    </row>
    <row r="909">
      <c r="A909" s="41"/>
      <c r="B909" s="31"/>
      <c r="C909" s="40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4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6"/>
      <c r="AM909" s="37"/>
    </row>
    <row r="910">
      <c r="A910" s="41"/>
      <c r="B910" s="31"/>
      <c r="C910" s="40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4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6"/>
      <c r="AM910" s="37"/>
    </row>
    <row r="911">
      <c r="A911" s="41"/>
      <c r="B911" s="31"/>
      <c r="C911" s="40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4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6"/>
      <c r="AM911" s="37"/>
    </row>
    <row r="912">
      <c r="A912" s="41"/>
      <c r="B912" s="31"/>
      <c r="C912" s="40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4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6"/>
      <c r="AM912" s="37"/>
    </row>
    <row r="913">
      <c r="A913" s="41"/>
      <c r="B913" s="31"/>
      <c r="C913" s="40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4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6"/>
      <c r="AM913" s="37"/>
    </row>
    <row r="914">
      <c r="A914" s="41"/>
      <c r="B914" s="31"/>
      <c r="C914" s="40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4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6"/>
      <c r="AM914" s="37"/>
    </row>
    <row r="915">
      <c r="A915" s="41"/>
      <c r="B915" s="31"/>
      <c r="C915" s="40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4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6"/>
      <c r="AM915" s="37"/>
    </row>
    <row r="916">
      <c r="A916" s="41"/>
      <c r="B916" s="31"/>
      <c r="C916" s="40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4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6"/>
      <c r="AM916" s="37"/>
    </row>
    <row r="917">
      <c r="A917" s="41"/>
      <c r="B917" s="31"/>
      <c r="C917" s="40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4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6"/>
      <c r="AM917" s="37"/>
    </row>
    <row r="918">
      <c r="A918" s="41"/>
      <c r="B918" s="31"/>
      <c r="C918" s="40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4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6"/>
      <c r="AM918" s="37"/>
    </row>
    <row r="919">
      <c r="A919" s="41"/>
      <c r="B919" s="31"/>
      <c r="C919" s="40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4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6"/>
      <c r="AM919" s="37"/>
    </row>
    <row r="920">
      <c r="A920" s="41"/>
      <c r="B920" s="31"/>
      <c r="C920" s="40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4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6"/>
      <c r="AM920" s="37"/>
    </row>
    <row r="921">
      <c r="A921" s="41"/>
      <c r="B921" s="31"/>
      <c r="C921" s="40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4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6"/>
      <c r="AM921" s="37"/>
    </row>
    <row r="922">
      <c r="A922" s="41"/>
      <c r="B922" s="31"/>
      <c r="C922" s="40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4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6"/>
      <c r="AM922" s="37"/>
    </row>
    <row r="923">
      <c r="A923" s="41"/>
      <c r="B923" s="31"/>
      <c r="C923" s="40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4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6"/>
      <c r="AM923" s="37"/>
    </row>
    <row r="924">
      <c r="A924" s="41"/>
      <c r="B924" s="31"/>
      <c r="C924" s="40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4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6"/>
      <c r="AM924" s="37"/>
    </row>
    <row r="925">
      <c r="A925" s="41"/>
      <c r="B925" s="31"/>
      <c r="C925" s="40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4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6"/>
      <c r="AM925" s="37"/>
    </row>
    <row r="926">
      <c r="A926" s="41"/>
      <c r="B926" s="31"/>
      <c r="C926" s="40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4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6"/>
      <c r="AM926" s="37"/>
    </row>
    <row r="927">
      <c r="A927" s="41"/>
      <c r="B927" s="31"/>
      <c r="C927" s="40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4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6"/>
      <c r="AM927" s="37"/>
    </row>
    <row r="928">
      <c r="A928" s="41"/>
      <c r="B928" s="31"/>
      <c r="C928" s="40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4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6"/>
      <c r="AM928" s="37"/>
    </row>
    <row r="929">
      <c r="A929" s="41"/>
      <c r="B929" s="31"/>
      <c r="C929" s="40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4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6"/>
      <c r="AM929" s="37"/>
    </row>
    <row r="930">
      <c r="A930" s="41"/>
      <c r="B930" s="31"/>
      <c r="C930" s="40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4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6"/>
      <c r="AM930" s="37"/>
    </row>
    <row r="931">
      <c r="A931" s="41"/>
      <c r="B931" s="31"/>
      <c r="C931" s="40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4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6"/>
      <c r="AM931" s="37"/>
    </row>
    <row r="932">
      <c r="A932" s="41"/>
      <c r="B932" s="31"/>
      <c r="C932" s="40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4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6"/>
      <c r="AM932" s="37"/>
    </row>
    <row r="933">
      <c r="A933" s="41"/>
      <c r="B933" s="31"/>
      <c r="C933" s="40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4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6"/>
      <c r="AM933" s="37"/>
    </row>
    <row r="934">
      <c r="A934" s="41"/>
      <c r="B934" s="31"/>
      <c r="C934" s="40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4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6"/>
      <c r="AM934" s="37"/>
    </row>
    <row r="935">
      <c r="A935" s="41"/>
      <c r="B935" s="31"/>
      <c r="C935" s="40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4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6"/>
      <c r="AM935" s="37"/>
    </row>
    <row r="936">
      <c r="A936" s="41"/>
      <c r="B936" s="31"/>
      <c r="C936" s="40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4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6"/>
      <c r="AM936" s="37"/>
    </row>
    <row r="937">
      <c r="A937" s="41"/>
      <c r="B937" s="31"/>
      <c r="C937" s="40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4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6"/>
      <c r="AM937" s="37"/>
    </row>
    <row r="938">
      <c r="A938" s="41"/>
      <c r="B938" s="31"/>
      <c r="C938" s="40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4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6"/>
      <c r="AM938" s="37"/>
    </row>
    <row r="939">
      <c r="A939" s="41"/>
      <c r="B939" s="31"/>
      <c r="C939" s="40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4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6"/>
      <c r="AM939" s="37"/>
    </row>
    <row r="940">
      <c r="A940" s="41"/>
      <c r="B940" s="31"/>
      <c r="C940" s="40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4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6"/>
      <c r="AM940" s="37"/>
    </row>
    <row r="941">
      <c r="A941" s="41"/>
      <c r="B941" s="31"/>
      <c r="C941" s="40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4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6"/>
      <c r="AM941" s="37"/>
    </row>
    <row r="942">
      <c r="A942" s="41"/>
      <c r="B942" s="31"/>
      <c r="C942" s="40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4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6"/>
      <c r="AM942" s="37"/>
    </row>
    <row r="943">
      <c r="A943" s="41"/>
      <c r="B943" s="31"/>
      <c r="C943" s="40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4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6"/>
      <c r="AM943" s="37"/>
    </row>
    <row r="944">
      <c r="A944" s="41"/>
      <c r="B944" s="31"/>
      <c r="C944" s="40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4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6"/>
      <c r="AM944" s="37"/>
    </row>
    <row r="945">
      <c r="A945" s="41"/>
      <c r="B945" s="31"/>
      <c r="C945" s="40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4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6"/>
      <c r="AM945" s="37"/>
    </row>
    <row r="946">
      <c r="A946" s="41"/>
      <c r="B946" s="31"/>
      <c r="C946" s="40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4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6"/>
      <c r="AM946" s="37"/>
    </row>
    <row r="947">
      <c r="A947" s="41"/>
      <c r="B947" s="31"/>
      <c r="C947" s="40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4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6"/>
      <c r="AM947" s="37"/>
    </row>
    <row r="948">
      <c r="A948" s="41"/>
      <c r="B948" s="31"/>
      <c r="C948" s="40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4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6"/>
      <c r="AM948" s="37"/>
    </row>
    <row r="949">
      <c r="A949" s="41"/>
      <c r="B949" s="31"/>
      <c r="C949" s="40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4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6"/>
      <c r="AM949" s="37"/>
    </row>
    <row r="950">
      <c r="A950" s="41"/>
      <c r="B950" s="31"/>
      <c r="C950" s="40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4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6"/>
      <c r="AM950" s="37"/>
    </row>
    <row r="951">
      <c r="A951" s="41"/>
      <c r="B951" s="31"/>
      <c r="C951" s="40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4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6"/>
      <c r="AM951" s="37"/>
    </row>
    <row r="952">
      <c r="A952" s="41"/>
      <c r="B952" s="31"/>
      <c r="C952" s="40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4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6"/>
      <c r="AM952" s="37"/>
    </row>
    <row r="953">
      <c r="A953" s="41"/>
      <c r="B953" s="31"/>
      <c r="C953" s="40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4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6"/>
      <c r="AM953" s="37"/>
    </row>
    <row r="954">
      <c r="A954" s="41"/>
      <c r="B954" s="31"/>
      <c r="C954" s="40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4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6"/>
      <c r="AM954" s="37"/>
    </row>
    <row r="955">
      <c r="A955" s="41"/>
      <c r="B955" s="31"/>
      <c r="C955" s="40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4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6"/>
      <c r="AM955" s="37"/>
    </row>
    <row r="956">
      <c r="A956" s="41"/>
      <c r="B956" s="31"/>
      <c r="C956" s="40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4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6"/>
      <c r="AM956" s="37"/>
    </row>
    <row r="957">
      <c r="A957" s="41"/>
      <c r="B957" s="31"/>
      <c r="C957" s="40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4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6"/>
      <c r="AM957" s="37"/>
    </row>
    <row r="958">
      <c r="A958" s="41"/>
      <c r="B958" s="31"/>
      <c r="C958" s="40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4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6"/>
      <c r="AM958" s="37"/>
    </row>
    <row r="959">
      <c r="A959" s="41"/>
      <c r="B959" s="31"/>
      <c r="C959" s="40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4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6"/>
      <c r="AM959" s="37"/>
    </row>
    <row r="960">
      <c r="A960" s="41"/>
      <c r="B960" s="31"/>
      <c r="C960" s="40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4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6"/>
      <c r="AM960" s="37"/>
    </row>
    <row r="961">
      <c r="A961" s="41"/>
      <c r="B961" s="31"/>
      <c r="C961" s="40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4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6"/>
      <c r="AM961" s="37"/>
    </row>
    <row r="962">
      <c r="A962" s="41"/>
      <c r="B962" s="31"/>
      <c r="C962" s="40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4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6"/>
      <c r="AM962" s="37"/>
    </row>
    <row r="963">
      <c r="A963" s="41"/>
      <c r="B963" s="31"/>
      <c r="C963" s="40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4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6"/>
      <c r="AM963" s="37"/>
    </row>
    <row r="964">
      <c r="A964" s="41"/>
      <c r="B964" s="31"/>
      <c r="C964" s="40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4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6"/>
      <c r="AM964" s="37"/>
    </row>
    <row r="965">
      <c r="A965" s="41"/>
      <c r="B965" s="31"/>
      <c r="C965" s="40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4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6"/>
      <c r="AM965" s="37"/>
    </row>
    <row r="966">
      <c r="A966" s="41"/>
      <c r="B966" s="31"/>
      <c r="C966" s="40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4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6"/>
      <c r="AM966" s="37"/>
    </row>
    <row r="967">
      <c r="A967" s="41"/>
      <c r="B967" s="31"/>
      <c r="C967" s="40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4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6"/>
      <c r="AM967" s="37"/>
    </row>
    <row r="968">
      <c r="A968" s="41"/>
      <c r="B968" s="31"/>
      <c r="C968" s="40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4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6"/>
      <c r="AM968" s="37"/>
    </row>
    <row r="969">
      <c r="A969" s="41"/>
      <c r="B969" s="31"/>
      <c r="C969" s="40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4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6"/>
      <c r="AM969" s="37"/>
    </row>
    <row r="970">
      <c r="A970" s="41"/>
      <c r="B970" s="31"/>
      <c r="C970" s="40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4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6"/>
      <c r="AM970" s="37"/>
    </row>
    <row r="971">
      <c r="A971" s="41"/>
      <c r="B971" s="31"/>
      <c r="C971" s="40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4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6"/>
      <c r="AM971" s="37"/>
    </row>
    <row r="972">
      <c r="A972" s="41"/>
      <c r="B972" s="31"/>
      <c r="C972" s="40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4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6"/>
      <c r="AM972" s="37"/>
    </row>
    <row r="973">
      <c r="A973" s="41"/>
      <c r="B973" s="31"/>
      <c r="C973" s="40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4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6"/>
      <c r="AM973" s="37"/>
    </row>
    <row r="974">
      <c r="A974" s="41"/>
      <c r="B974" s="31"/>
      <c r="C974" s="40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4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6"/>
      <c r="AM974" s="37"/>
    </row>
    <row r="975">
      <c r="A975" s="41"/>
      <c r="B975" s="31"/>
      <c r="C975" s="40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4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6"/>
      <c r="AM975" s="37"/>
    </row>
    <row r="976">
      <c r="A976" s="41"/>
      <c r="B976" s="31"/>
      <c r="C976" s="40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4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6"/>
      <c r="AM976" s="37"/>
    </row>
    <row r="977">
      <c r="A977" s="41"/>
      <c r="B977" s="31"/>
      <c r="C977" s="40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4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6"/>
      <c r="AM977" s="37"/>
    </row>
    <row r="978">
      <c r="A978" s="41"/>
      <c r="B978" s="31"/>
      <c r="C978" s="40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4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6"/>
      <c r="AM978" s="37"/>
    </row>
    <row r="979">
      <c r="A979" s="41"/>
      <c r="B979" s="31"/>
      <c r="C979" s="40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4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6"/>
      <c r="AM979" s="37"/>
    </row>
    <row r="980">
      <c r="A980" s="41"/>
      <c r="B980" s="31"/>
      <c r="C980" s="40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4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6"/>
      <c r="AM980" s="37"/>
    </row>
    <row r="981">
      <c r="A981" s="41"/>
      <c r="B981" s="31"/>
      <c r="C981" s="40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4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6"/>
      <c r="AM981" s="37"/>
    </row>
    <row r="982">
      <c r="A982" s="41"/>
      <c r="B982" s="31"/>
      <c r="C982" s="40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4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6"/>
      <c r="AM982" s="37"/>
    </row>
    <row r="983">
      <c r="A983" s="41"/>
      <c r="B983" s="31"/>
      <c r="C983" s="40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4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6"/>
      <c r="AM983" s="37"/>
    </row>
    <row r="984">
      <c r="A984" s="41"/>
      <c r="B984" s="31"/>
      <c r="C984" s="40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4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6"/>
      <c r="AM984" s="37"/>
    </row>
    <row r="985">
      <c r="A985" s="41"/>
      <c r="B985" s="31"/>
      <c r="C985" s="40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4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6"/>
      <c r="AM985" s="37"/>
    </row>
    <row r="986">
      <c r="A986" s="41"/>
      <c r="B986" s="31"/>
      <c r="C986" s="40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4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6"/>
      <c r="AM986" s="37"/>
    </row>
    <row r="987">
      <c r="A987" s="41"/>
      <c r="B987" s="31"/>
      <c r="C987" s="40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4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6"/>
      <c r="AM987" s="37"/>
    </row>
    <row r="988">
      <c r="A988" s="41"/>
      <c r="B988" s="31"/>
      <c r="C988" s="40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4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6"/>
      <c r="AM988" s="37"/>
    </row>
    <row r="989">
      <c r="A989" s="41"/>
      <c r="B989" s="31"/>
      <c r="C989" s="40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4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6"/>
      <c r="AM989" s="37"/>
    </row>
    <row r="990">
      <c r="A990" s="41"/>
      <c r="B990" s="31"/>
      <c r="C990" s="40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4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6"/>
      <c r="AM990" s="37"/>
    </row>
    <row r="991">
      <c r="A991" s="41"/>
      <c r="B991" s="31"/>
      <c r="C991" s="40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4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6"/>
      <c r="AM991" s="37"/>
    </row>
    <row r="992">
      <c r="A992" s="41"/>
      <c r="B992" s="31"/>
      <c r="C992" s="40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4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6"/>
      <c r="AM992" s="37"/>
    </row>
    <row r="993">
      <c r="A993" s="41"/>
      <c r="B993" s="31"/>
      <c r="C993" s="40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4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6"/>
      <c r="AM993" s="37"/>
    </row>
    <row r="994">
      <c r="A994" s="41"/>
      <c r="B994" s="31"/>
      <c r="C994" s="40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4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6"/>
      <c r="AM994" s="37"/>
    </row>
    <row r="995">
      <c r="A995" s="41"/>
      <c r="B995" s="31"/>
      <c r="C995" s="40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4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6"/>
      <c r="AM995" s="37"/>
    </row>
    <row r="996">
      <c r="A996" s="41"/>
      <c r="B996" s="31"/>
      <c r="C996" s="40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4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6"/>
      <c r="AM996" s="37"/>
    </row>
    <row r="997">
      <c r="A997" s="41"/>
      <c r="B997" s="31"/>
      <c r="C997" s="40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4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6"/>
      <c r="AM997" s="37"/>
    </row>
    <row r="998">
      <c r="A998" s="41"/>
      <c r="B998" s="31"/>
      <c r="C998" s="40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4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6"/>
      <c r="AM998" s="37"/>
    </row>
    <row r="999">
      <c r="A999" s="41"/>
      <c r="B999" s="31"/>
      <c r="C999" s="40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4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6"/>
      <c r="AM999" s="37"/>
    </row>
    <row r="1000">
      <c r="A1000" s="41"/>
      <c r="B1000" s="31"/>
      <c r="C1000" s="40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4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6"/>
      <c r="AM1000" s="37"/>
    </row>
    <row r="1001">
      <c r="A1001" s="41"/>
      <c r="B1001" s="31"/>
      <c r="C1001" s="40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4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6"/>
      <c r="AM1001" s="37"/>
    </row>
    <row r="1002">
      <c r="A1002" s="41"/>
      <c r="B1002" s="31"/>
      <c r="C1002" s="40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4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6"/>
      <c r="AM1002" s="37"/>
    </row>
    <row r="1003">
      <c r="A1003" s="41"/>
      <c r="B1003" s="31"/>
      <c r="C1003" s="40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4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6"/>
      <c r="AM1003" s="37"/>
    </row>
    <row r="1004">
      <c r="A1004" s="41"/>
      <c r="B1004" s="31"/>
      <c r="C1004" s="40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4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6"/>
      <c r="AM1004" s="37"/>
    </row>
    <row r="1005">
      <c r="A1005" s="41"/>
      <c r="B1005" s="31"/>
      <c r="C1005" s="40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4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6"/>
      <c r="AM1005" s="37"/>
    </row>
    <row r="1006">
      <c r="A1006" s="41"/>
      <c r="B1006" s="31"/>
      <c r="C1006" s="40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4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6"/>
      <c r="AM1006" s="37"/>
    </row>
    <row r="1007">
      <c r="A1007" s="41"/>
      <c r="B1007" s="31"/>
      <c r="C1007" s="40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4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6"/>
      <c r="AM1007" s="37"/>
    </row>
    <row r="1008">
      <c r="A1008" s="41"/>
      <c r="B1008" s="31"/>
      <c r="C1008" s="40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4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6"/>
      <c r="AM1008" s="37"/>
    </row>
    <row r="1009">
      <c r="A1009" s="41"/>
      <c r="B1009" s="31"/>
      <c r="C1009" s="40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4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6"/>
      <c r="AM1009" s="37"/>
    </row>
    <row r="1010">
      <c r="A1010" s="41"/>
      <c r="B1010" s="31"/>
      <c r="C1010" s="40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4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6"/>
      <c r="AM1010" s="37"/>
    </row>
    <row r="1011">
      <c r="A1011" s="41"/>
      <c r="B1011" s="31"/>
      <c r="C1011" s="40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4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6"/>
      <c r="AM1011" s="37"/>
    </row>
    <row r="1012">
      <c r="A1012" s="41"/>
      <c r="B1012" s="31"/>
      <c r="C1012" s="40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4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6"/>
      <c r="AM1012" s="37"/>
    </row>
    <row r="1013">
      <c r="A1013" s="41"/>
      <c r="B1013" s="31"/>
      <c r="C1013" s="40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4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6"/>
      <c r="AM1013" s="37"/>
    </row>
    <row r="1014">
      <c r="A1014" s="41"/>
      <c r="B1014" s="31"/>
      <c r="C1014" s="40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4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6"/>
      <c r="AM1014" s="37"/>
    </row>
    <row r="1015">
      <c r="A1015" s="41"/>
      <c r="B1015" s="31"/>
      <c r="C1015" s="40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4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6"/>
      <c r="AM1015" s="37"/>
    </row>
    <row r="1016">
      <c r="A1016" s="41"/>
      <c r="B1016" s="31"/>
      <c r="C1016" s="40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4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6"/>
      <c r="AM1016" s="37"/>
    </row>
    <row r="1017">
      <c r="A1017" s="41"/>
      <c r="B1017" s="31"/>
      <c r="C1017" s="40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4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6"/>
      <c r="AM1017" s="37"/>
    </row>
    <row r="1018">
      <c r="A1018" s="41"/>
      <c r="B1018" s="31"/>
      <c r="C1018" s="40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4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6"/>
      <c r="AM1018" s="37"/>
    </row>
    <row r="1019">
      <c r="A1019" s="41"/>
      <c r="B1019" s="31"/>
      <c r="C1019" s="40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4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6"/>
      <c r="AM1019" s="37"/>
    </row>
    <row r="1020">
      <c r="A1020" s="41"/>
      <c r="B1020" s="31"/>
      <c r="C1020" s="40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4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6"/>
      <c r="AM1020" s="37"/>
    </row>
    <row r="1021">
      <c r="A1021" s="41"/>
      <c r="B1021" s="31"/>
      <c r="C1021" s="40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4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6"/>
      <c r="AM1021" s="37"/>
    </row>
    <row r="1022">
      <c r="A1022" s="41"/>
      <c r="B1022" s="31"/>
      <c r="C1022" s="40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4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6"/>
      <c r="AM1022" s="37"/>
    </row>
    <row r="1023">
      <c r="A1023" s="41"/>
      <c r="B1023" s="31"/>
      <c r="C1023" s="40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4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6"/>
      <c r="AM1023" s="37"/>
    </row>
    <row r="1024">
      <c r="A1024" s="41"/>
      <c r="B1024" s="31"/>
      <c r="C1024" s="40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4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6"/>
      <c r="AM1024" s="37"/>
    </row>
    <row r="1025">
      <c r="A1025" s="41"/>
      <c r="B1025" s="31"/>
      <c r="C1025" s="40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4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6"/>
      <c r="AM1025" s="37"/>
    </row>
    <row r="1026">
      <c r="A1026" s="41"/>
      <c r="B1026" s="31"/>
      <c r="C1026" s="40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4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6"/>
      <c r="AM1026" s="37"/>
    </row>
    <row r="1027">
      <c r="A1027" s="41"/>
      <c r="B1027" s="31"/>
      <c r="C1027" s="40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4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6"/>
      <c r="AM1027" s="37"/>
    </row>
    <row r="1028">
      <c r="A1028" s="41"/>
      <c r="B1028" s="31"/>
      <c r="C1028" s="40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4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6"/>
      <c r="AM1028" s="37"/>
    </row>
    <row r="1029">
      <c r="A1029" s="41"/>
      <c r="B1029" s="31"/>
      <c r="C1029" s="40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4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6"/>
      <c r="AM1029" s="37"/>
    </row>
    <row r="1030">
      <c r="A1030" s="41"/>
      <c r="B1030" s="31"/>
      <c r="C1030" s="40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4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6"/>
      <c r="AM1030" s="37"/>
    </row>
    <row r="1031">
      <c r="A1031" s="41"/>
      <c r="B1031" s="31"/>
      <c r="C1031" s="40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4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6"/>
      <c r="AM1031" s="37"/>
    </row>
    <row r="1032">
      <c r="A1032" s="41"/>
      <c r="B1032" s="31"/>
      <c r="C1032" s="40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4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6"/>
      <c r="AM1032" s="37"/>
    </row>
  </sheetData>
  <dataValidations>
    <dataValidation type="list" allowBlank="1" showErrorMessage="1" sqref="P6:P1032">
      <formula1>"CID06,CID10,CID11,CID14,CID15,CID25,CIF06,CIF10,CIH06,CIH10,CIH11,CIH14,CIH15,CIK20,CIW06,CIW10,CIW11,CIW14,CIW15"</formula1>
    </dataValidation>
    <dataValidation type="list" allowBlank="1" showErrorMessage="1" sqref="S6:S1032">
      <formula1>"Finished,OD &amp; Thickness Clean,OD Ground,Semi Finished,Sintered,Thickness Clean,Tumble"</formula1>
    </dataValidation>
    <dataValidation type="list" allowBlank="1" showErrorMessage="1" sqref="AL6:AL1032">
      <formula1>"10 Days,15 Days,3 Days,30 Days,60 Days,90 Days"</formula1>
    </dataValidation>
    <dataValidation type="list" allowBlank="1" showErrorMessage="1" sqref="W6:W1032">
      <formula1>"BO + 35% OH + 3% Nego,BW x Ratio + Vendor Cost + 35% OH + 3% Nego,DW x Ratio + Forming,IC + 35% OH + 3% Nego,IC + VC + 35% OH + 3% Nego,PW x Ratio + Forming"</formula1>
    </dataValidation>
    <dataValidation type="list" allowBlank="1" showErrorMessage="1" sqref="AK6:AK1032">
      <formula1>"12-14 Weeks,15 Days,2-3 Weeks,5-6 Weeks,7-8 Weeks,Ex Stock"</formula1>
    </dataValidation>
    <dataValidation type="list" allowBlank="1" showErrorMessage="1" sqref="H6:H1032">
      <formula1>"Cylinder - Reg,Cylinder - Spl,Flat - Reg,Flat - Spl,H. Cylinder - Reg,H. Cylinder - Spl,Special,Assembly"</formula1>
    </dataValidation>
    <dataValidation type="list" allowBlank="1" showErrorMessage="1" sqref="AJ6:AJ1032">
      <formula1>"15 Days,2-3 Weeks,4-5 Weeks,8-12 Weeks,NA"</formula1>
    </dataValidation>
    <dataValidation type="list" allowBlank="1" showErrorMessage="1" sqref="AM6:AM12">
      <formula1>"Approved,Done,External F/Up,In Process,Internal F/Up,Need Help,Need Info"</formula1>
    </dataValidation>
    <dataValidation type="list" allowBlank="1" showErrorMessage="1" sqref="V6:V1032">
      <formula1>"Both,Bought Out,Inhouse"</formula1>
    </dataValidation>
  </dataValidations>
  <drawing r:id="rId1"/>
</worksheet>
</file>