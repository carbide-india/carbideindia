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giene Dashboard" sheetId="1" r:id="rId5"/>
    <sheet state="hidden" name="Form Responses 1" sheetId="2" r:id="rId6"/>
    <sheet state="visible" name="Form Responses " sheetId="3" r:id="rId7"/>
  </sheets>
  <definedNames/>
  <calcPr/>
</workbook>
</file>

<file path=xl/sharedStrings.xml><?xml version="1.0" encoding="utf-8"?>
<sst xmlns="http://schemas.openxmlformats.org/spreadsheetml/2006/main" count="133" uniqueCount="69">
  <si>
    <t>CARBIDE INDIA - SAMPLE REGISTER HYGIENE DASHBOARD</t>
  </si>
  <si>
    <t>Last Updated: 12/6/2026, 10:46:14 am</t>
  </si>
  <si>
    <t>Sheets: 1   |   Total Fields: 23   |   Fields with Gaps: 1   |   Overall Fill Rate: 96%</t>
  </si>
  <si>
    <t>Grey = Blanks / Don't Know found   |   White = 100% Complete</t>
  </si>
  <si>
    <t>To add a new sheet: open Apps Script and add an entry to SR_SHEET_REGISTRY at the top of the script</t>
  </si>
  <si>
    <t>Form Responses 1   (1 rows)   [Headers: Row 1 | Data from: Row 2]</t>
  </si>
  <si>
    <t>Col</t>
  </si>
  <si>
    <t>Field Name</t>
  </si>
  <si>
    <t>Blanks</t>
  </si>
  <si>
    <t>Fill %</t>
  </si>
  <si>
    <t>A</t>
  </si>
  <si>
    <t>Timestamp</t>
  </si>
  <si>
    <t>B</t>
  </si>
  <si>
    <t>Date</t>
  </si>
  <si>
    <t>C</t>
  </si>
  <si>
    <t>Sample Location</t>
  </si>
  <si>
    <t>D</t>
  </si>
  <si>
    <t>Responsible Person</t>
  </si>
  <si>
    <t>E</t>
  </si>
  <si>
    <t>Uploaded Photos</t>
  </si>
  <si>
    <t>F</t>
  </si>
  <si>
    <t>Sample Notes</t>
  </si>
  <si>
    <t>G</t>
  </si>
  <si>
    <t>Sample No</t>
  </si>
  <si>
    <t>H</t>
  </si>
  <si>
    <t>Sample Status</t>
  </si>
  <si>
    <t>I</t>
  </si>
  <si>
    <t>Dimension Status</t>
  </si>
  <si>
    <t>J</t>
  </si>
  <si>
    <t>Dimension Location</t>
  </si>
  <si>
    <t>K</t>
  </si>
  <si>
    <t>Dimension Completed On</t>
  </si>
  <si>
    <t>L</t>
  </si>
  <si>
    <t>Chemical Analysis Status</t>
  </si>
  <si>
    <t>M</t>
  </si>
  <si>
    <t>Chemical Analysis Location</t>
  </si>
  <si>
    <t>N</t>
  </si>
  <si>
    <t>Chemical Analysis Completed On</t>
  </si>
  <si>
    <t>O</t>
  </si>
  <si>
    <t>Drawing Status</t>
  </si>
  <si>
    <t>P</t>
  </si>
  <si>
    <t>Drawing Location</t>
  </si>
  <si>
    <t>Q</t>
  </si>
  <si>
    <t>Drawing Completed On</t>
  </si>
  <si>
    <t>R</t>
  </si>
  <si>
    <t>Costing Status</t>
  </si>
  <si>
    <t>S</t>
  </si>
  <si>
    <t>Costing Completed On</t>
  </si>
  <si>
    <t>T</t>
  </si>
  <si>
    <t>Sample Reports Uploaded</t>
  </si>
  <si>
    <t>U</t>
  </si>
  <si>
    <t>Uploaded Sample Reports in SM Folder</t>
  </si>
  <si>
    <t>V</t>
  </si>
  <si>
    <t>Samples Processed Date</t>
  </si>
  <si>
    <t>W</t>
  </si>
  <si>
    <t>Sample Process Notes</t>
  </si>
  <si>
    <t>Total data rows: 1</t>
  </si>
  <si>
    <t>Other 1</t>
  </si>
  <si>
    <t>Done</t>
  </si>
  <si>
    <t>testing 2</t>
  </si>
  <si>
    <t>Chemical Analysis Report</t>
  </si>
  <si>
    <r>
      <rPr>
        <rFont val="Arial"/>
        <b/>
        <color theme="1"/>
        <sz val="9.0"/>
      </rPr>
      <t>Date Format Example</t>
    </r>
    <r>
      <rPr>
        <rFont val="Arial"/>
        <color theme="1"/>
      </rPr>
      <t xml:space="preserve"> - </t>
    </r>
    <r>
      <rPr>
        <rFont val="Arial"/>
        <b/>
        <color theme="1"/>
      </rPr>
      <t>(22-May-2026)</t>
    </r>
  </si>
  <si>
    <t>Auto</t>
  </si>
  <si>
    <t>MM-DD-YYY</t>
  </si>
  <si>
    <t>Drop Down</t>
  </si>
  <si>
    <t>Manual</t>
  </si>
  <si>
    <t>Sr No</t>
  </si>
  <si>
    <t>Drawing Completed On Date</t>
  </si>
  <si>
    <t>Costing Completed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</si>
</sst>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&quot;/&quot;m&quot;/&quot;yy"/>
    <numFmt numFmtId="166" formatCode="dd&quot;/&quot;mm&quot;/&quot;yyyy"/>
  </numFmts>
  <fonts count="14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>
      <i/>
      <sz val="9.0"/>
      <color rgb="FF666666"/>
      <name val="Arial"/>
      <scheme val="minor"/>
    </font>
    <font>
      <b/>
      <sz val="9.0"/>
      <color rgb="FF333333"/>
      <name val="Arial"/>
      <scheme val="minor"/>
    </font>
    <font>
      <i/>
      <sz val="8.0"/>
      <color rgb="FF444444"/>
      <name val="Arial"/>
      <scheme val="minor"/>
    </font>
    <font>
      <i/>
      <sz val="8.0"/>
      <color rgb="FF888888"/>
      <name val="Arial"/>
      <scheme val="minor"/>
    </font>
    <font>
      <b/>
      <sz val="9.0"/>
      <color theme="1"/>
      <name val="Arial"/>
      <scheme val="minor"/>
    </font>
    <font/>
    <font>
      <b/>
      <sz val="9.0"/>
      <color rgb="FFFFFFFF"/>
      <name val="Arial"/>
      <scheme val="minor"/>
    </font>
    <font>
      <sz val="9.0"/>
      <color rgb="FF000000"/>
      <name val="Arial"/>
      <scheme val="minor"/>
    </font>
    <font>
      <i/>
      <sz val="8.0"/>
      <color rgb="FF555555"/>
      <name val="Arial"/>
      <scheme val="minor"/>
    </font>
    <font>
      <color theme="1"/>
      <name val="Arial"/>
    </font>
    <font>
      <b/>
      <sz val="11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E8E8E8"/>
        <bgColor rgb="FFE8E8E8"/>
      </patternFill>
    </fill>
    <fill>
      <patternFill patternType="solid">
        <fgColor rgb="FFF3F3F3"/>
        <bgColor rgb="FFF3F3F3"/>
      </patternFill>
    </fill>
    <fill>
      <patternFill patternType="solid">
        <fgColor rgb="FFF9F9F9"/>
        <bgColor rgb="FFF9F9F9"/>
      </patternFill>
    </fill>
    <fill>
      <patternFill patternType="solid">
        <fgColor rgb="FFD9D9D9"/>
        <bgColor rgb="FFD9D9D9"/>
      </patternFill>
    </fill>
    <fill>
      <patternFill patternType="solid">
        <fgColor rgb="FF4A4A4A"/>
        <bgColor rgb="FF4A4A4A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5B3F86"/>
        <bgColor rgb="FF5B3F86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</fills>
  <borders count="6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3" fontId="4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0" fillId="0" fontId="2" numFmtId="9" xfId="0" applyFont="1" applyNumberFormat="1"/>
    <xf borderId="1" fillId="6" fontId="7" numFmtId="0" xfId="0" applyAlignment="1" applyBorder="1" applyFill="1" applyFont="1">
      <alignment horizontal="left" readingOrder="0" vertical="center"/>
    </xf>
    <xf borderId="2" fillId="0" fontId="8" numFmtId="0" xfId="0" applyBorder="1" applyFont="1"/>
    <xf borderId="3" fillId="0" fontId="8" numFmtId="0" xfId="0" applyBorder="1" applyFont="1"/>
    <xf borderId="4" fillId="7" fontId="9" numFmtId="0" xfId="0" applyAlignment="1" applyBorder="1" applyFill="1" applyFont="1">
      <alignment horizontal="center" readingOrder="0"/>
    </xf>
    <xf borderId="4" fillId="8" fontId="10" numFmtId="0" xfId="0" applyAlignment="1" applyBorder="1" applyFill="1" applyFont="1">
      <alignment readingOrder="0"/>
    </xf>
    <xf borderId="4" fillId="8" fontId="10" numFmtId="0" xfId="0" applyAlignment="1" applyBorder="1" applyFont="1">
      <alignment horizontal="center"/>
    </xf>
    <xf borderId="4" fillId="8" fontId="10" numFmtId="9" xfId="0" applyAlignment="1" applyBorder="1" applyFont="1" applyNumberFormat="1">
      <alignment horizontal="center" readingOrder="0"/>
    </xf>
    <xf borderId="4" fillId="9" fontId="10" numFmtId="0" xfId="0" applyAlignment="1" applyBorder="1" applyFill="1" applyFont="1">
      <alignment readingOrder="0"/>
    </xf>
    <xf borderId="4" fillId="9" fontId="10" numFmtId="0" xfId="0" applyAlignment="1" applyBorder="1" applyFont="1">
      <alignment horizontal="center"/>
    </xf>
    <xf borderId="4" fillId="9" fontId="10" numFmtId="9" xfId="0" applyAlignment="1" applyBorder="1" applyFont="1" applyNumberFormat="1">
      <alignment horizontal="center" readingOrder="0"/>
    </xf>
    <xf borderId="4" fillId="6" fontId="10" numFmtId="0" xfId="0" applyAlignment="1" applyBorder="1" applyFont="1">
      <alignment readingOrder="0"/>
    </xf>
    <xf borderId="4" fillId="6" fontId="10" numFmtId="0" xfId="0" applyAlignment="1" applyBorder="1" applyFont="1">
      <alignment horizontal="center" readingOrder="0"/>
    </xf>
    <xf borderId="4" fillId="6" fontId="10" numFmtId="9" xfId="0" applyAlignment="1" applyBorder="1" applyFont="1" applyNumberFormat="1">
      <alignment horizontal="center" readingOrder="0"/>
    </xf>
    <xf borderId="1" fillId="10" fontId="11" numFmtId="0" xfId="0" applyAlignment="1" applyBorder="1" applyFill="1" applyFont="1">
      <alignment horizontal="right" readingOrder="0"/>
    </xf>
    <xf borderId="0" fillId="11" fontId="2" numFmtId="0" xfId="0" applyAlignment="1" applyFill="1" applyFont="1">
      <alignment horizontal="left" readingOrder="0" shrinkToFit="0" vertical="center" wrapText="1"/>
    </xf>
    <xf borderId="5" fillId="12" fontId="12" numFmtId="0" xfId="0" applyAlignment="1" applyBorder="1" applyFill="1" applyFont="1">
      <alignment horizontal="left" readingOrder="0" shrinkToFit="0" vertical="center" wrapText="1"/>
    </xf>
    <xf borderId="5" fillId="12" fontId="12" numFmtId="0" xfId="0" applyAlignment="1" applyBorder="1" applyFont="1">
      <alignment horizontal="center"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14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6" xfId="0" applyAlignment="1" applyFont="1" applyNumberForma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4" xfId="0" applyAlignment="1" applyFont="1" applyNumberFormat="1">
      <alignment readingOrder="0" shrinkToFit="0" wrapText="1"/>
    </xf>
    <xf borderId="0" fillId="13" fontId="2" numFmtId="0" xfId="0" applyAlignment="1" applyFill="1" applyFont="1">
      <alignment readingOrder="0" shrinkToFit="0" vertical="top" wrapText="1"/>
    </xf>
    <xf borderId="0" fillId="0" fontId="12" numFmtId="4" xfId="0" applyAlignment="1" applyFont="1" applyNumberFormat="1">
      <alignment readingOrder="0" shrinkToFit="0" wrapText="1"/>
    </xf>
    <xf borderId="5" fillId="6" fontId="13" numFmtId="0" xfId="0" applyAlignment="1" applyBorder="1" applyFont="1">
      <alignment horizontal="center" readingOrder="0" shrinkToFit="0" vertical="center" wrapText="1"/>
    </xf>
    <xf borderId="5" fillId="6" fontId="13" numFmtId="0" xfId="0" applyAlignment="1" applyBorder="1" applyFont="1">
      <alignment horizontal="center" readingOrder="0" shrinkToFit="0" vertical="center" wrapText="1"/>
    </xf>
    <xf borderId="5" fillId="6" fontId="13" numFmtId="0" xfId="0" applyAlignment="1" applyBorder="1" applyFont="1">
      <alignment horizontal="center" readingOrder="0" shrinkToFit="0" vertical="center" wrapText="1"/>
    </xf>
    <xf borderId="5" fillId="0" fontId="2" numFmtId="4" xfId="0" applyAlignment="1" applyBorder="1" applyFont="1" applyNumberFormat="1">
      <alignment readingOrder="0" shrinkToFit="0" wrapText="1"/>
    </xf>
    <xf borderId="5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shrinkToFit="0" wrapText="1"/>
    </xf>
    <xf borderId="5" fillId="0" fontId="2" numFmtId="165" xfId="0" applyAlignment="1" applyBorder="1" applyFont="1" applyNumberFormat="1">
      <alignment horizontal="center" readingOrder="0" shrinkToFit="0" wrapText="1"/>
    </xf>
    <xf borderId="5" fillId="0" fontId="2" numFmtId="165" xfId="0" applyAlignment="1" applyBorder="1" applyFont="1" applyNumberFormat="1">
      <alignment readingOrder="0" shrinkToFit="0" wrapText="1"/>
    </xf>
    <xf borderId="5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readingOrder="0" shrinkToFit="0" wrapText="1"/>
    </xf>
    <xf borderId="5" fillId="0" fontId="2" numFmtId="166" xfId="0" applyAlignment="1" applyBorder="1" applyFont="1" applyNumberFormat="1">
      <alignment shrinkToFit="0" wrapText="1"/>
    </xf>
    <xf borderId="5" fillId="0" fontId="2" numFmtId="165" xfId="0" applyAlignment="1" applyBorder="1" applyFont="1" applyNumberFormat="1">
      <alignment shrinkToFit="0" wrapText="1"/>
    </xf>
    <xf borderId="5" fillId="0" fontId="2" numFmtId="165" xfId="0" applyAlignment="1" applyBorder="1" applyFont="1" applyNumberFormat="1">
      <alignment horizontal="center" shrinkToFit="0" wrapText="1"/>
    </xf>
    <xf borderId="5" fillId="0" fontId="2" numFmtId="4" xfId="0" applyAlignment="1" applyBorder="1" applyFont="1" applyNumberFormat="1">
      <alignment shrinkToFit="0" wrapText="1"/>
    </xf>
    <xf borderId="5" fillId="0" fontId="2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102" displayName="Form_Responses" name="Form_Responses" id="1">
  <tableColumns count="23">
    <tableColumn name="Timestamp" id="1"/>
    <tableColumn name="Date" id="2"/>
    <tableColumn name="Sample Location" id="3"/>
    <tableColumn name="Responsible Person" id="4"/>
    <tableColumn name="Uploaded Photos" id="5"/>
    <tableColumn name="Sample Notes" id="6"/>
    <tableColumn name="Sample No" id="7"/>
    <tableColumn name="Sample Status" id="8"/>
    <tableColumn name="Dimension Status" id="9"/>
    <tableColumn name="Dimension Location" id="10"/>
    <tableColumn name="Dimension Completed On" id="11"/>
    <tableColumn name="Chemical Analysis Status" id="12"/>
    <tableColumn name="Chemical Analysis Location" id="13"/>
    <tableColumn name="Chemical Analysis Completed On" id="14"/>
    <tableColumn name="Drawing Status" id="15"/>
    <tableColumn name="Drawing Location" id="16"/>
    <tableColumn name="Drawing Completed On" id="17"/>
    <tableColumn name="Costing Status" id="18"/>
    <tableColumn name="Costing Completed On" id="19"/>
    <tableColumn name="Sample Reports Uploaded" id="20"/>
    <tableColumn name="Uploaded Sample Reports in SM Folder" id="21"/>
    <tableColumn name="Samples Processed Date" id="22"/>
    <tableColumn name="Sample Process Notes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2.63"/>
    <col customWidth="1" min="2" max="2" width="26.25"/>
    <col customWidth="1" min="3" max="3" width="5.38"/>
    <col customWidth="1" min="4" max="5" width="4.5"/>
  </cols>
  <sheetData>
    <row r="1" ht="28.5" customHeight="1">
      <c r="A1" s="1" t="s">
        <v>0</v>
      </c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</row>
    <row r="3">
      <c r="A3" s="4" t="s">
        <v>2</v>
      </c>
    </row>
    <row r="4">
      <c r="A4" s="5" t="s">
        <v>3</v>
      </c>
    </row>
    <row r="5">
      <c r="A5" s="6" t="s">
        <v>4</v>
      </c>
    </row>
    <row r="6">
      <c r="A6" s="2"/>
      <c r="B6" s="2"/>
      <c r="D6" s="7"/>
      <c r="E6" s="7"/>
    </row>
    <row r="7" ht="18.0" customHeight="1">
      <c r="A7" s="8" t="s">
        <v>5</v>
      </c>
      <c r="B7" s="9"/>
      <c r="C7" s="9"/>
      <c r="D7" s="10"/>
      <c r="E7" s="7"/>
    </row>
    <row r="8">
      <c r="A8" s="11" t="s">
        <v>6</v>
      </c>
      <c r="B8" s="11" t="s">
        <v>7</v>
      </c>
      <c r="C8" s="11" t="s">
        <v>8</v>
      </c>
      <c r="D8" s="11" t="s">
        <v>9</v>
      </c>
      <c r="E8" s="7"/>
    </row>
    <row r="9">
      <c r="A9" s="12" t="s">
        <v>10</v>
      </c>
      <c r="B9" s="12" t="s">
        <v>11</v>
      </c>
      <c r="C9" s="13"/>
      <c r="D9" s="14">
        <v>1.0</v>
      </c>
      <c r="E9" s="7"/>
    </row>
    <row r="10">
      <c r="A10" s="15" t="s">
        <v>12</v>
      </c>
      <c r="B10" s="15" t="s">
        <v>13</v>
      </c>
      <c r="C10" s="16"/>
      <c r="D10" s="17">
        <v>1.0</v>
      </c>
      <c r="E10" s="7"/>
    </row>
    <row r="11">
      <c r="A11" s="12" t="s">
        <v>14</v>
      </c>
      <c r="B11" s="12" t="s">
        <v>15</v>
      </c>
      <c r="C11" s="13"/>
      <c r="D11" s="14">
        <v>1.0</v>
      </c>
      <c r="E11" s="7"/>
    </row>
    <row r="12">
      <c r="A12" s="15" t="s">
        <v>16</v>
      </c>
      <c r="B12" s="15" t="s">
        <v>17</v>
      </c>
      <c r="C12" s="16"/>
      <c r="D12" s="17">
        <v>1.0</v>
      </c>
      <c r="E12" s="7"/>
    </row>
    <row r="13">
      <c r="A13" s="12" t="s">
        <v>18</v>
      </c>
      <c r="B13" s="12" t="s">
        <v>19</v>
      </c>
      <c r="C13" s="13"/>
      <c r="D13" s="14">
        <v>1.0</v>
      </c>
      <c r="E13" s="7"/>
      <c r="G13" s="2"/>
    </row>
    <row r="14">
      <c r="A14" s="15" t="s">
        <v>20</v>
      </c>
      <c r="B14" s="15" t="s">
        <v>21</v>
      </c>
      <c r="C14" s="16"/>
      <c r="D14" s="17">
        <v>1.0</v>
      </c>
      <c r="E14" s="7"/>
    </row>
    <row r="15">
      <c r="A15" s="12" t="s">
        <v>22</v>
      </c>
      <c r="B15" s="12" t="s">
        <v>23</v>
      </c>
      <c r="C15" s="13"/>
      <c r="D15" s="14">
        <v>1.0</v>
      </c>
      <c r="E15" s="7"/>
    </row>
    <row r="16">
      <c r="A16" s="15" t="s">
        <v>24</v>
      </c>
      <c r="B16" s="15" t="s">
        <v>25</v>
      </c>
      <c r="C16" s="16"/>
      <c r="D16" s="17">
        <v>1.0</v>
      </c>
      <c r="E16" s="7"/>
    </row>
    <row r="17">
      <c r="A17" s="12" t="s">
        <v>26</v>
      </c>
      <c r="B17" s="12" t="s">
        <v>27</v>
      </c>
      <c r="C17" s="13"/>
      <c r="D17" s="14">
        <v>1.0</v>
      </c>
      <c r="E17" s="7"/>
    </row>
    <row r="18">
      <c r="A18" s="15" t="s">
        <v>28</v>
      </c>
      <c r="B18" s="15" t="s">
        <v>29</v>
      </c>
      <c r="C18" s="16"/>
      <c r="D18" s="17">
        <v>1.0</v>
      </c>
      <c r="E18" s="7"/>
    </row>
    <row r="19">
      <c r="A19" s="12" t="s">
        <v>30</v>
      </c>
      <c r="B19" s="12" t="s">
        <v>31</v>
      </c>
      <c r="C19" s="13"/>
      <c r="D19" s="14">
        <v>1.0</v>
      </c>
      <c r="E19" s="7"/>
    </row>
    <row r="20">
      <c r="A20" s="15" t="s">
        <v>32</v>
      </c>
      <c r="B20" s="15" t="s">
        <v>33</v>
      </c>
      <c r="C20" s="16"/>
      <c r="D20" s="17">
        <v>1.0</v>
      </c>
      <c r="E20" s="7"/>
    </row>
    <row r="21">
      <c r="A21" s="12" t="s">
        <v>34</v>
      </c>
      <c r="B21" s="12" t="s">
        <v>35</v>
      </c>
      <c r="C21" s="13"/>
      <c r="D21" s="14">
        <v>1.0</v>
      </c>
      <c r="E21" s="7"/>
    </row>
    <row r="22">
      <c r="A22" s="15" t="s">
        <v>36</v>
      </c>
      <c r="B22" s="15" t="s">
        <v>37</v>
      </c>
      <c r="C22" s="16"/>
      <c r="D22" s="17">
        <v>1.0</v>
      </c>
      <c r="E22" s="7"/>
    </row>
    <row r="23">
      <c r="A23" s="12" t="s">
        <v>38</v>
      </c>
      <c r="B23" s="12" t="s">
        <v>39</v>
      </c>
      <c r="C23" s="13"/>
      <c r="D23" s="14">
        <v>1.0</v>
      </c>
      <c r="E23" s="7"/>
    </row>
    <row r="24">
      <c r="A24" s="15" t="s">
        <v>40</v>
      </c>
      <c r="B24" s="15" t="s">
        <v>41</v>
      </c>
      <c r="C24" s="16"/>
      <c r="D24" s="17">
        <v>1.0</v>
      </c>
      <c r="E24" s="7"/>
    </row>
    <row r="25">
      <c r="A25" s="12" t="s">
        <v>42</v>
      </c>
      <c r="B25" s="12" t="s">
        <v>43</v>
      </c>
      <c r="C25" s="13"/>
      <c r="D25" s="14">
        <v>1.0</v>
      </c>
    </row>
    <row r="26">
      <c r="A26" s="15" t="s">
        <v>44</v>
      </c>
      <c r="B26" s="15" t="s">
        <v>45</v>
      </c>
      <c r="C26" s="16"/>
      <c r="D26" s="17">
        <v>1.0</v>
      </c>
    </row>
    <row r="27">
      <c r="A27" s="12" t="s">
        <v>46</v>
      </c>
      <c r="B27" s="12" t="s">
        <v>47</v>
      </c>
      <c r="C27" s="13"/>
      <c r="D27" s="14">
        <v>1.0</v>
      </c>
    </row>
    <row r="28">
      <c r="A28" s="15" t="s">
        <v>48</v>
      </c>
      <c r="B28" s="15" t="s">
        <v>49</v>
      </c>
      <c r="C28" s="16"/>
      <c r="D28" s="17">
        <v>1.0</v>
      </c>
    </row>
    <row r="29">
      <c r="A29" s="12" t="s">
        <v>50</v>
      </c>
      <c r="B29" s="12" t="s">
        <v>51</v>
      </c>
      <c r="C29" s="13"/>
      <c r="D29" s="14">
        <v>1.0</v>
      </c>
    </row>
    <row r="30">
      <c r="A30" s="15" t="s">
        <v>52</v>
      </c>
      <c r="B30" s="15" t="s">
        <v>53</v>
      </c>
      <c r="C30" s="16"/>
      <c r="D30" s="17">
        <v>1.0</v>
      </c>
    </row>
    <row r="31">
      <c r="A31" s="18" t="s">
        <v>54</v>
      </c>
      <c r="B31" s="18" t="s">
        <v>55</v>
      </c>
      <c r="C31" s="19">
        <v>1.0</v>
      </c>
      <c r="D31" s="20">
        <v>0.0</v>
      </c>
    </row>
    <row r="32">
      <c r="A32" s="21" t="s">
        <v>56</v>
      </c>
      <c r="B32" s="9"/>
      <c r="C32" s="9"/>
      <c r="D32" s="10"/>
    </row>
  </sheetData>
  <mergeCells count="7">
    <mergeCell ref="A1:J1"/>
    <mergeCell ref="A2:J2"/>
    <mergeCell ref="A3:J3"/>
    <mergeCell ref="A4:J4"/>
    <mergeCell ref="A5:J5"/>
    <mergeCell ref="A7:D7"/>
    <mergeCell ref="A32:D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75"/>
    <col customWidth="1" min="5" max="10" width="18.88"/>
    <col customWidth="1" min="11" max="11" width="19.5"/>
    <col customWidth="1" min="12" max="13" width="18.88"/>
    <col customWidth="1" min="14" max="14" width="19.5"/>
    <col customWidth="1" min="15" max="16" width="18.88"/>
    <col customWidth="1" min="17" max="17" width="19.5"/>
    <col customWidth="1" min="18" max="18" width="18.88"/>
    <col customWidth="1" min="19" max="19" width="19.5"/>
    <col customWidth="1" min="20" max="20" width="20.75"/>
    <col customWidth="1" min="21" max="21" width="22.0"/>
    <col customWidth="1" min="22" max="22" width="20.63"/>
    <col customWidth="1" min="23" max="23" width="18.88"/>
  </cols>
  <sheetData>
    <row r="1" ht="22.5" customHeight="1">
      <c r="A1" s="22" t="s">
        <v>11</v>
      </c>
      <c r="B1" s="22" t="s">
        <v>13</v>
      </c>
      <c r="C1" s="22" t="s">
        <v>15</v>
      </c>
      <c r="D1" s="22" t="s">
        <v>17</v>
      </c>
      <c r="E1" s="22" t="s">
        <v>19</v>
      </c>
      <c r="F1" s="22" t="s">
        <v>21</v>
      </c>
      <c r="G1" s="23" t="s">
        <v>23</v>
      </c>
      <c r="H1" s="23" t="s">
        <v>25</v>
      </c>
      <c r="I1" s="23" t="s">
        <v>27</v>
      </c>
      <c r="J1" s="23" t="s">
        <v>29</v>
      </c>
      <c r="K1" s="24" t="s">
        <v>31</v>
      </c>
      <c r="L1" s="23" t="s">
        <v>33</v>
      </c>
      <c r="M1" s="23" t="s">
        <v>35</v>
      </c>
      <c r="N1" s="23" t="s">
        <v>37</v>
      </c>
      <c r="O1" s="23" t="s">
        <v>39</v>
      </c>
      <c r="P1" s="23" t="s">
        <v>41</v>
      </c>
      <c r="Q1" s="23" t="s">
        <v>43</v>
      </c>
      <c r="R1" s="23" t="s">
        <v>45</v>
      </c>
      <c r="S1" s="23" t="s">
        <v>47</v>
      </c>
      <c r="T1" s="23" t="s">
        <v>49</v>
      </c>
      <c r="U1" s="23" t="s">
        <v>51</v>
      </c>
      <c r="V1" s="23" t="s">
        <v>53</v>
      </c>
      <c r="W1" s="23" t="s">
        <v>55</v>
      </c>
    </row>
    <row r="2" ht="22.5" customHeight="1">
      <c r="A2" s="25">
        <v>46156.79409753472</v>
      </c>
      <c r="B2" s="26">
        <v>46156.0</v>
      </c>
      <c r="C2" s="27" t="s">
        <v>57</v>
      </c>
      <c r="D2" s="27" t="s">
        <v>57</v>
      </c>
      <c r="E2" s="27" t="s">
        <v>58</v>
      </c>
      <c r="F2" s="27" t="s">
        <v>59</v>
      </c>
      <c r="G2" s="28" t="str">
        <f t="shared" ref="G2:G102" si="1">IF(A2="","","SM9657-"&amp;TEXT(COUNTA($A$2:A2),"00"))</f>
        <v>SM9657-01</v>
      </c>
      <c r="H2" s="27" t="str">
        <f t="shared" ref="H2:H102" si="2">IF(A2="","",IF(U2="Done","Processed","Received"))</f>
        <v>Processed</v>
      </c>
      <c r="I2" s="28" t="str">
        <f t="shared" ref="I2:I102" si="3">IF(H2="On Hold","On Hold",IF(A2="","",IF(K2&lt;&gt;"","Done","Not Started")))</f>
        <v>Done</v>
      </c>
      <c r="J2" s="28" t="str">
        <f t="shared" ref="J2:J102" si="4">IF(A2="","","Undecided")</f>
        <v>Undecided</v>
      </c>
      <c r="K2" s="29">
        <v>46156.0</v>
      </c>
      <c r="L2" s="28" t="str">
        <f t="shared" ref="L2:L102" si="5">IF(H2="On Hold","On Hold",IF(A2="","",IF(N2&lt;&gt;"","Done","Not Started")))</f>
        <v>Done</v>
      </c>
      <c r="M2" s="28" t="str">
        <f t="shared" ref="M2:M102" si="6">IF(A2="","","Undecided")</f>
        <v>Undecided</v>
      </c>
      <c r="N2" s="29">
        <v>46163.0</v>
      </c>
      <c r="O2" s="28" t="str">
        <f t="shared" ref="O2:O102" si="7">IF(H2="On Hold","On Hold",IF(A2="","",IF(Q2&lt;&gt;"","Done","Not Started")))</f>
        <v>Done</v>
      </c>
      <c r="P2" s="28" t="str">
        <f t="shared" ref="P2:P102" si="8">IF(A2="","","Undecided")</f>
        <v>Undecided</v>
      </c>
      <c r="Q2" s="29">
        <v>46156.0</v>
      </c>
      <c r="R2" s="28" t="str">
        <f t="shared" ref="R2:R102" si="9">IF(H2="On Hold","On Hold",IF(A2="","",IF(S2&lt;&gt;"","Done","Not Started")))</f>
        <v>Done</v>
      </c>
      <c r="S2" s="29">
        <v>46156.0</v>
      </c>
      <c r="T2" s="30" t="s">
        <v>60</v>
      </c>
      <c r="U2" s="31" t="s">
        <v>58</v>
      </c>
      <c r="V2" s="32">
        <f t="shared" ref="V2:V102" si="10">IF(U2="Done",IF(V2="",TODAY(),V2),"")</f>
        <v>46157</v>
      </c>
      <c r="W2" s="28"/>
    </row>
    <row r="3" ht="22.5" customHeight="1">
      <c r="A3" s="33"/>
      <c r="B3" s="34"/>
      <c r="C3" s="34"/>
      <c r="D3" s="34"/>
      <c r="E3" s="34"/>
      <c r="F3" s="34"/>
      <c r="G3" s="28" t="str">
        <f t="shared" si="1"/>
        <v/>
      </c>
      <c r="H3" s="27" t="str">
        <f t="shared" si="2"/>
        <v/>
      </c>
      <c r="I3" s="28" t="str">
        <f t="shared" si="3"/>
        <v/>
      </c>
      <c r="J3" s="28" t="str">
        <f t="shared" si="4"/>
        <v/>
      </c>
      <c r="K3" s="35"/>
      <c r="L3" s="28" t="str">
        <f t="shared" si="5"/>
        <v/>
      </c>
      <c r="M3" s="28" t="str">
        <f t="shared" si="6"/>
        <v/>
      </c>
      <c r="N3" s="36"/>
      <c r="O3" s="28" t="str">
        <f t="shared" si="7"/>
        <v/>
      </c>
      <c r="P3" s="28" t="str">
        <f t="shared" si="8"/>
        <v/>
      </c>
      <c r="Q3" s="36"/>
      <c r="R3" s="28" t="str">
        <f t="shared" si="9"/>
        <v/>
      </c>
      <c r="S3" s="33"/>
      <c r="T3" s="37"/>
      <c r="U3" s="38" t="str">
        <f>IFERROR(__xludf.DUMMYFUNCTION("IF(A3="""","""",IF(AND(REGEXMATCH(T3,""Dimension Report""),REGEXMATCH(T3,""Chemical Analysis Report""),REGEXMATCH(T3,""Drawing Report""),REGEXMATCH(T3,""Costing Report"")),""Done"",""Not Done""))"),"")</f>
        <v/>
      </c>
      <c r="V3" s="32" t="str">
        <f t="shared" si="10"/>
        <v/>
      </c>
      <c r="W3" s="34"/>
    </row>
    <row r="4" ht="22.5" customHeight="1">
      <c r="A4" s="33"/>
      <c r="B4" s="34"/>
      <c r="C4" s="34"/>
      <c r="D4" s="34"/>
      <c r="E4" s="34"/>
      <c r="F4" s="34"/>
      <c r="G4" s="28" t="str">
        <f t="shared" si="1"/>
        <v/>
      </c>
      <c r="H4" s="27" t="str">
        <f t="shared" si="2"/>
        <v/>
      </c>
      <c r="I4" s="28" t="str">
        <f t="shared" si="3"/>
        <v/>
      </c>
      <c r="J4" s="28" t="str">
        <f t="shared" si="4"/>
        <v/>
      </c>
      <c r="K4" s="35"/>
      <c r="L4" s="28" t="str">
        <f t="shared" si="5"/>
        <v/>
      </c>
      <c r="M4" s="28" t="str">
        <f t="shared" si="6"/>
        <v/>
      </c>
      <c r="N4" s="36"/>
      <c r="O4" s="28" t="str">
        <f t="shared" si="7"/>
        <v/>
      </c>
      <c r="P4" s="28" t="str">
        <f t="shared" si="8"/>
        <v/>
      </c>
      <c r="Q4" s="39"/>
      <c r="R4" s="28" t="str">
        <f t="shared" si="9"/>
        <v/>
      </c>
      <c r="S4" s="39"/>
      <c r="T4" s="40"/>
      <c r="U4" s="38" t="str">
        <f>IFERROR(__xludf.DUMMYFUNCTION("IF(A4="""","""",IF(AND(REGEXMATCH(T4,""Dimension Report""),REGEXMATCH(T4,""Chemical Analysis Report""),REGEXMATCH(T4,""Drawing Report""),REGEXMATCH(T4,""Costing Report"")),""Done"",""Not Done""))"),"")</f>
        <v/>
      </c>
      <c r="V4" s="32" t="str">
        <f t="shared" si="10"/>
        <v/>
      </c>
      <c r="W4" s="34"/>
    </row>
    <row r="5" ht="22.5" customHeight="1">
      <c r="A5" s="33"/>
      <c r="B5" s="34"/>
      <c r="C5" s="34"/>
      <c r="D5" s="34"/>
      <c r="E5" s="34"/>
      <c r="F5" s="34"/>
      <c r="G5" s="28" t="str">
        <f t="shared" si="1"/>
        <v/>
      </c>
      <c r="H5" s="27" t="str">
        <f t="shared" si="2"/>
        <v/>
      </c>
      <c r="I5" s="28" t="str">
        <f t="shared" si="3"/>
        <v/>
      </c>
      <c r="J5" s="28" t="str">
        <f t="shared" si="4"/>
        <v/>
      </c>
      <c r="K5" s="41"/>
      <c r="L5" s="28" t="str">
        <f t="shared" si="5"/>
        <v/>
      </c>
      <c r="M5" s="28" t="str">
        <f t="shared" si="6"/>
        <v/>
      </c>
      <c r="N5" s="36"/>
      <c r="O5" s="28" t="str">
        <f t="shared" si="7"/>
        <v/>
      </c>
      <c r="P5" s="28" t="str">
        <f t="shared" si="8"/>
        <v/>
      </c>
      <c r="Q5" s="36"/>
      <c r="R5" s="28" t="str">
        <f t="shared" si="9"/>
        <v/>
      </c>
      <c r="S5" s="39"/>
      <c r="T5" s="37"/>
      <c r="U5" s="38" t="str">
        <f>IFERROR(__xludf.DUMMYFUNCTION("IF(A5="""","""",IF(AND(REGEXMATCH(T5,""Dimension Report""),REGEXMATCH(T5,""Chemical Analysis Report""),REGEXMATCH(T5,""Drawing Report""),REGEXMATCH(T5,""Costing Report"")),""Done"",""Not Done""))"),"")</f>
        <v/>
      </c>
      <c r="V5" s="32" t="str">
        <f t="shared" si="10"/>
        <v/>
      </c>
      <c r="W5" s="34"/>
    </row>
    <row r="6" ht="22.5" customHeight="1">
      <c r="A6" s="33"/>
      <c r="B6" s="34"/>
      <c r="C6" s="34"/>
      <c r="D6" s="34"/>
      <c r="E6" s="34"/>
      <c r="F6" s="34"/>
      <c r="G6" s="28" t="str">
        <f t="shared" si="1"/>
        <v/>
      </c>
      <c r="H6" s="27" t="str">
        <f t="shared" si="2"/>
        <v/>
      </c>
      <c r="I6" s="28" t="str">
        <f t="shared" si="3"/>
        <v/>
      </c>
      <c r="J6" s="28" t="str">
        <f t="shared" si="4"/>
        <v/>
      </c>
      <c r="K6" s="41"/>
      <c r="L6" s="28" t="str">
        <f t="shared" si="5"/>
        <v/>
      </c>
      <c r="M6" s="28" t="str">
        <f t="shared" si="6"/>
        <v/>
      </c>
      <c r="N6" s="36"/>
      <c r="O6" s="28" t="str">
        <f t="shared" si="7"/>
        <v/>
      </c>
      <c r="P6" s="28" t="str">
        <f t="shared" si="8"/>
        <v/>
      </c>
      <c r="Q6" s="39"/>
      <c r="R6" s="28" t="str">
        <f t="shared" si="9"/>
        <v/>
      </c>
      <c r="S6" s="39"/>
      <c r="T6" s="37"/>
      <c r="U6" s="38" t="str">
        <f>IFERROR(__xludf.DUMMYFUNCTION("IF(A6="""","""",IF(AND(REGEXMATCH(T6,""Dimension Report""),REGEXMATCH(T6,""Chemical Analysis Report""),REGEXMATCH(T6,""Drawing Report""),REGEXMATCH(T6,""Costing Report"")),""Done"",""Not Done""))"),"")</f>
        <v/>
      </c>
      <c r="V6" s="32" t="str">
        <f t="shared" si="10"/>
        <v/>
      </c>
      <c r="W6" s="34"/>
    </row>
    <row r="7" ht="22.5" customHeight="1">
      <c r="A7" s="34"/>
      <c r="B7" s="34"/>
      <c r="C7" s="34"/>
      <c r="D7" s="34"/>
      <c r="E7" s="34"/>
      <c r="F7" s="34"/>
      <c r="G7" s="28" t="str">
        <f t="shared" si="1"/>
        <v/>
      </c>
      <c r="H7" s="27" t="str">
        <f t="shared" si="2"/>
        <v/>
      </c>
      <c r="I7" s="28" t="str">
        <f t="shared" si="3"/>
        <v/>
      </c>
      <c r="J7" s="28" t="str">
        <f t="shared" si="4"/>
        <v/>
      </c>
      <c r="K7" s="41"/>
      <c r="L7" s="28" t="str">
        <f t="shared" si="5"/>
        <v/>
      </c>
      <c r="M7" s="28" t="str">
        <f t="shared" si="6"/>
        <v/>
      </c>
      <c r="N7" s="36"/>
      <c r="O7" s="28" t="str">
        <f t="shared" si="7"/>
        <v/>
      </c>
      <c r="P7" s="28" t="str">
        <f t="shared" si="8"/>
        <v/>
      </c>
      <c r="Q7" s="39"/>
      <c r="R7" s="28" t="str">
        <f t="shared" si="9"/>
        <v/>
      </c>
      <c r="S7" s="39"/>
      <c r="T7" s="37"/>
      <c r="U7" s="38" t="str">
        <f>IFERROR(__xludf.DUMMYFUNCTION("IF(A7="""","""",IF(AND(REGEXMATCH(T7,""Dimension Report""),REGEXMATCH(T7,""Chemical Analysis Report""),REGEXMATCH(T7,""Drawing Report""),REGEXMATCH(T7,""Costing Report"")),""Done"",""Not Done""))"),"")</f>
        <v/>
      </c>
      <c r="V7" s="32" t="str">
        <f t="shared" si="10"/>
        <v/>
      </c>
    </row>
    <row r="8" ht="22.5" customHeight="1">
      <c r="A8" s="34"/>
      <c r="B8" s="34"/>
      <c r="C8" s="34"/>
      <c r="D8" s="34"/>
      <c r="E8" s="34"/>
      <c r="F8" s="34"/>
      <c r="G8" s="28" t="str">
        <f t="shared" si="1"/>
        <v/>
      </c>
      <c r="H8" s="27" t="str">
        <f t="shared" si="2"/>
        <v/>
      </c>
      <c r="I8" s="28" t="str">
        <f t="shared" si="3"/>
        <v/>
      </c>
      <c r="J8" s="28" t="str">
        <f t="shared" si="4"/>
        <v/>
      </c>
      <c r="K8" s="41"/>
      <c r="L8" s="28" t="str">
        <f t="shared" si="5"/>
        <v/>
      </c>
      <c r="M8" s="28" t="str">
        <f t="shared" si="6"/>
        <v/>
      </c>
      <c r="N8" s="39"/>
      <c r="O8" s="28" t="str">
        <f t="shared" si="7"/>
        <v/>
      </c>
      <c r="P8" s="28" t="str">
        <f t="shared" si="8"/>
        <v/>
      </c>
      <c r="Q8" s="39"/>
      <c r="R8" s="28" t="str">
        <f t="shared" si="9"/>
        <v/>
      </c>
      <c r="S8" s="39"/>
      <c r="T8" s="37"/>
      <c r="U8" s="38" t="str">
        <f>IFERROR(__xludf.DUMMYFUNCTION("IF(A8="""","""",IF(AND(REGEXMATCH(T8,""Dimension Report""),REGEXMATCH(T8,""Chemical Analysis Report""),REGEXMATCH(T8,""Drawing Report""),REGEXMATCH(T8,""Costing Report"")),""Done"",""Not Done""))"),"")</f>
        <v/>
      </c>
      <c r="V8" s="32" t="str">
        <f t="shared" si="10"/>
        <v/>
      </c>
      <c r="W8" s="34"/>
    </row>
    <row r="9" ht="22.5" customHeight="1">
      <c r="A9" s="33"/>
      <c r="B9" s="34"/>
      <c r="C9" s="34"/>
      <c r="D9" s="34"/>
      <c r="E9" s="34"/>
      <c r="F9" s="34"/>
      <c r="G9" s="28" t="str">
        <f t="shared" si="1"/>
        <v/>
      </c>
      <c r="H9" s="27" t="str">
        <f t="shared" si="2"/>
        <v/>
      </c>
      <c r="I9" s="28" t="str">
        <f t="shared" si="3"/>
        <v/>
      </c>
      <c r="J9" s="28" t="str">
        <f t="shared" si="4"/>
        <v/>
      </c>
      <c r="K9" s="41"/>
      <c r="L9" s="28" t="str">
        <f t="shared" si="5"/>
        <v/>
      </c>
      <c r="M9" s="28" t="str">
        <f t="shared" si="6"/>
        <v/>
      </c>
      <c r="N9" s="39"/>
      <c r="O9" s="28" t="str">
        <f t="shared" si="7"/>
        <v/>
      </c>
      <c r="P9" s="28" t="str">
        <f t="shared" si="8"/>
        <v/>
      </c>
      <c r="Q9" s="39"/>
      <c r="R9" s="28" t="str">
        <f t="shared" si="9"/>
        <v/>
      </c>
      <c r="S9" s="39"/>
      <c r="T9" s="37"/>
      <c r="U9" s="38" t="str">
        <f>IFERROR(__xludf.DUMMYFUNCTION("IF(A9="""","""",IF(AND(REGEXMATCH(T9,""Dimension Report""),REGEXMATCH(T9,""Chemical Analysis Report""),REGEXMATCH(T9,""Drawing Report""),REGEXMATCH(T9,""Costing Report"")),""Done"",""Not Done""))"),"")</f>
        <v/>
      </c>
      <c r="V9" s="32" t="str">
        <f t="shared" si="10"/>
        <v/>
      </c>
      <c r="W9" s="34"/>
    </row>
    <row r="10" ht="22.5" customHeight="1">
      <c r="A10" s="34"/>
      <c r="B10" s="34"/>
      <c r="C10" s="34"/>
      <c r="D10" s="34"/>
      <c r="E10" s="34"/>
      <c r="F10" s="34"/>
      <c r="G10" s="28" t="str">
        <f t="shared" si="1"/>
        <v/>
      </c>
      <c r="H10" s="27" t="str">
        <f t="shared" si="2"/>
        <v/>
      </c>
      <c r="I10" s="28" t="str">
        <f t="shared" si="3"/>
        <v/>
      </c>
      <c r="J10" s="28" t="str">
        <f t="shared" si="4"/>
        <v/>
      </c>
      <c r="K10" s="41"/>
      <c r="L10" s="28" t="str">
        <f t="shared" si="5"/>
        <v/>
      </c>
      <c r="M10" s="28" t="str">
        <f t="shared" si="6"/>
        <v/>
      </c>
      <c r="N10" s="39"/>
      <c r="O10" s="28" t="str">
        <f t="shared" si="7"/>
        <v/>
      </c>
      <c r="P10" s="28" t="str">
        <f t="shared" si="8"/>
        <v/>
      </c>
      <c r="Q10" s="39"/>
      <c r="R10" s="28" t="str">
        <f t="shared" si="9"/>
        <v/>
      </c>
      <c r="S10" s="39"/>
      <c r="T10" s="37"/>
      <c r="U10" s="42" t="str">
        <f>IFERROR(__xludf.DUMMYFUNCTION("IF(A10="""","""",IF(AND(REGEXMATCH(T10,""Dimension Report""),REGEXMATCH(T10,""Chemical Analysis Report""),REGEXMATCH(T10,""Drawing Report""),REGEXMATCH(T10,""Costing Report"")),""Done"",""Not Done""))"),"")</f>
        <v/>
      </c>
      <c r="V10" s="32" t="str">
        <f t="shared" si="10"/>
        <v/>
      </c>
      <c r="W10" s="34"/>
    </row>
    <row r="11" ht="22.5" customHeight="1">
      <c r="A11" s="34"/>
      <c r="B11" s="34"/>
      <c r="C11" s="34"/>
      <c r="D11" s="34"/>
      <c r="E11" s="34"/>
      <c r="F11" s="34"/>
      <c r="G11" s="28" t="str">
        <f t="shared" si="1"/>
        <v/>
      </c>
      <c r="H11" s="27" t="str">
        <f t="shared" si="2"/>
        <v/>
      </c>
      <c r="I11" s="28" t="str">
        <f t="shared" si="3"/>
        <v/>
      </c>
      <c r="J11" s="28" t="str">
        <f t="shared" si="4"/>
        <v/>
      </c>
      <c r="K11" s="41"/>
      <c r="L11" s="28" t="str">
        <f t="shared" si="5"/>
        <v/>
      </c>
      <c r="M11" s="28" t="str">
        <f t="shared" si="6"/>
        <v/>
      </c>
      <c r="N11" s="39"/>
      <c r="O11" s="28" t="str">
        <f t="shared" si="7"/>
        <v/>
      </c>
      <c r="P11" s="28" t="str">
        <f t="shared" si="8"/>
        <v/>
      </c>
      <c r="Q11" s="39"/>
      <c r="R11" s="28" t="str">
        <f t="shared" si="9"/>
        <v/>
      </c>
      <c r="S11" s="39"/>
      <c r="T11" s="37"/>
      <c r="U11" s="42" t="str">
        <f>IFERROR(__xludf.DUMMYFUNCTION("IF(A11="""","""",IF(AND(REGEXMATCH(T11,""Dimension Report""),REGEXMATCH(T11,""Chemical Analysis Report""),REGEXMATCH(T11,""Drawing Report""),REGEXMATCH(T11,""Costing Report"")),""Done"",""Not Done""))"),"")</f>
        <v/>
      </c>
      <c r="V11" s="32" t="str">
        <f t="shared" si="10"/>
        <v/>
      </c>
      <c r="W11" s="34"/>
    </row>
    <row r="12" ht="22.5" customHeight="1">
      <c r="A12" s="34"/>
      <c r="B12" s="34"/>
      <c r="C12" s="34"/>
      <c r="D12" s="34"/>
      <c r="E12" s="34"/>
      <c r="F12" s="34"/>
      <c r="G12" s="28" t="str">
        <f t="shared" si="1"/>
        <v/>
      </c>
      <c r="H12" s="27" t="str">
        <f t="shared" si="2"/>
        <v/>
      </c>
      <c r="I12" s="28" t="str">
        <f t="shared" si="3"/>
        <v/>
      </c>
      <c r="J12" s="28" t="str">
        <f t="shared" si="4"/>
        <v/>
      </c>
      <c r="K12" s="41"/>
      <c r="L12" s="28" t="str">
        <f t="shared" si="5"/>
        <v/>
      </c>
      <c r="M12" s="28" t="str">
        <f t="shared" si="6"/>
        <v/>
      </c>
      <c r="N12" s="39"/>
      <c r="O12" s="28" t="str">
        <f t="shared" si="7"/>
        <v/>
      </c>
      <c r="P12" s="28" t="str">
        <f t="shared" si="8"/>
        <v/>
      </c>
      <c r="Q12" s="39"/>
      <c r="R12" s="28" t="str">
        <f t="shared" si="9"/>
        <v/>
      </c>
      <c r="S12" s="39"/>
      <c r="T12" s="37"/>
      <c r="U12" s="42" t="str">
        <f>IFERROR(__xludf.DUMMYFUNCTION("IF(A12="""","""",IF(AND(REGEXMATCH(T12,""Dimension Report""),REGEXMATCH(T12,""Chemical Analysis Report""),REGEXMATCH(T12,""Drawing Report""),REGEXMATCH(T12,""Costing Report"")),""Done"",""Not Done""))"),"")</f>
        <v/>
      </c>
      <c r="V12" s="32" t="str">
        <f t="shared" si="10"/>
        <v/>
      </c>
      <c r="W12" s="34"/>
    </row>
    <row r="13" ht="22.5" customHeight="1">
      <c r="A13" s="34"/>
      <c r="B13" s="34"/>
      <c r="C13" s="34"/>
      <c r="D13" s="34"/>
      <c r="E13" s="34"/>
      <c r="F13" s="34"/>
      <c r="G13" s="28" t="str">
        <f t="shared" si="1"/>
        <v/>
      </c>
      <c r="H13" s="27" t="str">
        <f t="shared" si="2"/>
        <v/>
      </c>
      <c r="I13" s="28" t="str">
        <f t="shared" si="3"/>
        <v/>
      </c>
      <c r="J13" s="28" t="str">
        <f t="shared" si="4"/>
        <v/>
      </c>
      <c r="K13" s="41"/>
      <c r="L13" s="28" t="str">
        <f t="shared" si="5"/>
        <v/>
      </c>
      <c r="M13" s="28" t="str">
        <f t="shared" si="6"/>
        <v/>
      </c>
      <c r="N13" s="39"/>
      <c r="O13" s="28" t="str">
        <f t="shared" si="7"/>
        <v/>
      </c>
      <c r="P13" s="28" t="str">
        <f t="shared" si="8"/>
        <v/>
      </c>
      <c r="Q13" s="39"/>
      <c r="R13" s="28" t="str">
        <f t="shared" si="9"/>
        <v/>
      </c>
      <c r="S13" s="39"/>
      <c r="T13" s="37"/>
      <c r="U13" s="42" t="str">
        <f>IFERROR(__xludf.DUMMYFUNCTION("IF(A13="""","""",IF(AND(REGEXMATCH(T13,""Dimension Report""),REGEXMATCH(T13,""Chemical Analysis Report""),REGEXMATCH(T13,""Drawing Report""),REGEXMATCH(T13,""Costing Report"")),""Done"",""Not Done""))"),"")</f>
        <v/>
      </c>
      <c r="V13" s="32" t="str">
        <f t="shared" si="10"/>
        <v/>
      </c>
      <c r="W13" s="34"/>
    </row>
    <row r="14" ht="22.5" customHeight="1">
      <c r="A14" s="34"/>
      <c r="B14" s="34"/>
      <c r="C14" s="34"/>
      <c r="D14" s="34"/>
      <c r="E14" s="34"/>
      <c r="F14" s="34"/>
      <c r="G14" s="28" t="str">
        <f t="shared" si="1"/>
        <v/>
      </c>
      <c r="H14" s="27" t="str">
        <f t="shared" si="2"/>
        <v/>
      </c>
      <c r="I14" s="28" t="str">
        <f t="shared" si="3"/>
        <v/>
      </c>
      <c r="J14" s="28" t="str">
        <f t="shared" si="4"/>
        <v/>
      </c>
      <c r="K14" s="41"/>
      <c r="L14" s="28" t="str">
        <f t="shared" si="5"/>
        <v/>
      </c>
      <c r="M14" s="28" t="str">
        <f t="shared" si="6"/>
        <v/>
      </c>
      <c r="N14" s="39"/>
      <c r="O14" s="28" t="str">
        <f t="shared" si="7"/>
        <v/>
      </c>
      <c r="P14" s="28" t="str">
        <f t="shared" si="8"/>
        <v/>
      </c>
      <c r="Q14" s="39"/>
      <c r="R14" s="28" t="str">
        <f t="shared" si="9"/>
        <v/>
      </c>
      <c r="S14" s="39"/>
      <c r="T14" s="37"/>
      <c r="U14" s="42" t="str">
        <f>IFERROR(__xludf.DUMMYFUNCTION("IF(A14="""","""",IF(AND(REGEXMATCH(T14,""Dimension Report""),REGEXMATCH(T14,""Chemical Analysis Report""),REGEXMATCH(T14,""Drawing Report""),REGEXMATCH(T14,""Costing Report"")),""Done"",""Not Done""))"),"")</f>
        <v/>
      </c>
      <c r="V14" s="32" t="str">
        <f t="shared" si="10"/>
        <v/>
      </c>
      <c r="W14" s="34"/>
    </row>
    <row r="15" ht="22.5" customHeight="1">
      <c r="A15" s="34"/>
      <c r="B15" s="34"/>
      <c r="C15" s="34"/>
      <c r="D15" s="34"/>
      <c r="E15" s="34"/>
      <c r="F15" s="34"/>
      <c r="G15" s="28" t="str">
        <f t="shared" si="1"/>
        <v/>
      </c>
      <c r="H15" s="27" t="str">
        <f t="shared" si="2"/>
        <v/>
      </c>
      <c r="I15" s="28" t="str">
        <f t="shared" si="3"/>
        <v/>
      </c>
      <c r="J15" s="28" t="str">
        <f t="shared" si="4"/>
        <v/>
      </c>
      <c r="K15" s="41"/>
      <c r="L15" s="28" t="str">
        <f t="shared" si="5"/>
        <v/>
      </c>
      <c r="M15" s="28" t="str">
        <f t="shared" si="6"/>
        <v/>
      </c>
      <c r="N15" s="39"/>
      <c r="O15" s="28" t="str">
        <f t="shared" si="7"/>
        <v/>
      </c>
      <c r="P15" s="28" t="str">
        <f t="shared" si="8"/>
        <v/>
      </c>
      <c r="Q15" s="39"/>
      <c r="R15" s="28" t="str">
        <f t="shared" si="9"/>
        <v/>
      </c>
      <c r="S15" s="39"/>
      <c r="T15" s="37"/>
      <c r="U15" s="42" t="str">
        <f>IFERROR(__xludf.DUMMYFUNCTION("IF(A15="""","""",IF(AND(REGEXMATCH(T15,""Dimension Report""),REGEXMATCH(T15,""Chemical Analysis Report""),REGEXMATCH(T15,""Drawing Report""),REGEXMATCH(T15,""Costing Report"")),""Done"",""Not Done""))"),"")</f>
        <v/>
      </c>
      <c r="V15" s="32" t="str">
        <f t="shared" si="10"/>
        <v/>
      </c>
      <c r="W15" s="34"/>
    </row>
    <row r="16" ht="22.5" customHeight="1">
      <c r="A16" s="34"/>
      <c r="B16" s="34"/>
      <c r="C16" s="34"/>
      <c r="D16" s="34"/>
      <c r="E16" s="34"/>
      <c r="F16" s="34"/>
      <c r="G16" s="28" t="str">
        <f t="shared" si="1"/>
        <v/>
      </c>
      <c r="H16" s="27" t="str">
        <f t="shared" si="2"/>
        <v/>
      </c>
      <c r="I16" s="28" t="str">
        <f t="shared" si="3"/>
        <v/>
      </c>
      <c r="J16" s="28" t="str">
        <f t="shared" si="4"/>
        <v/>
      </c>
      <c r="K16" s="41"/>
      <c r="L16" s="28" t="str">
        <f t="shared" si="5"/>
        <v/>
      </c>
      <c r="M16" s="28" t="str">
        <f t="shared" si="6"/>
        <v/>
      </c>
      <c r="N16" s="39"/>
      <c r="O16" s="28" t="str">
        <f t="shared" si="7"/>
        <v/>
      </c>
      <c r="P16" s="28" t="str">
        <f t="shared" si="8"/>
        <v/>
      </c>
      <c r="Q16" s="39"/>
      <c r="R16" s="28" t="str">
        <f t="shared" si="9"/>
        <v/>
      </c>
      <c r="S16" s="39"/>
      <c r="T16" s="37"/>
      <c r="U16" s="42" t="str">
        <f>IFERROR(__xludf.DUMMYFUNCTION("IF(A16="""","""",IF(AND(REGEXMATCH(T16,""Dimension Report""),REGEXMATCH(T16,""Chemical Analysis Report""),REGEXMATCH(T16,""Drawing Report""),REGEXMATCH(T16,""Costing Report"")),""Done"",""Not Done""))"),"")</f>
        <v/>
      </c>
      <c r="V16" s="32" t="str">
        <f t="shared" si="10"/>
        <v/>
      </c>
      <c r="W16" s="34"/>
    </row>
    <row r="17" ht="22.5" customHeight="1">
      <c r="A17" s="34"/>
      <c r="B17" s="34"/>
      <c r="C17" s="34"/>
      <c r="D17" s="34"/>
      <c r="E17" s="34"/>
      <c r="F17" s="34"/>
      <c r="G17" s="28" t="str">
        <f t="shared" si="1"/>
        <v/>
      </c>
      <c r="H17" s="27" t="str">
        <f t="shared" si="2"/>
        <v/>
      </c>
      <c r="I17" s="28" t="str">
        <f t="shared" si="3"/>
        <v/>
      </c>
      <c r="J17" s="28" t="str">
        <f t="shared" si="4"/>
        <v/>
      </c>
      <c r="K17" s="41"/>
      <c r="L17" s="28" t="str">
        <f t="shared" si="5"/>
        <v/>
      </c>
      <c r="M17" s="28" t="str">
        <f t="shared" si="6"/>
        <v/>
      </c>
      <c r="N17" s="39"/>
      <c r="O17" s="28" t="str">
        <f t="shared" si="7"/>
        <v/>
      </c>
      <c r="P17" s="28" t="str">
        <f t="shared" si="8"/>
        <v/>
      </c>
      <c r="Q17" s="39"/>
      <c r="R17" s="28" t="str">
        <f t="shared" si="9"/>
        <v/>
      </c>
      <c r="S17" s="39"/>
      <c r="T17" s="37"/>
      <c r="U17" s="42" t="str">
        <f>IFERROR(__xludf.DUMMYFUNCTION("IF(A17="""","""",IF(AND(REGEXMATCH(T17,""Dimension Report""),REGEXMATCH(T17,""Chemical Analysis Report""),REGEXMATCH(T17,""Drawing Report""),REGEXMATCH(T17,""Costing Report"")),""Done"",""Not Done""))"),"")</f>
        <v/>
      </c>
      <c r="V17" s="32" t="str">
        <f t="shared" si="10"/>
        <v/>
      </c>
      <c r="W17" s="34"/>
    </row>
    <row r="18" ht="22.5" customHeight="1">
      <c r="A18" s="34"/>
      <c r="B18" s="34"/>
      <c r="C18" s="34"/>
      <c r="D18" s="34"/>
      <c r="E18" s="34"/>
      <c r="F18" s="34"/>
      <c r="G18" s="28" t="str">
        <f t="shared" si="1"/>
        <v/>
      </c>
      <c r="H18" s="27" t="str">
        <f t="shared" si="2"/>
        <v/>
      </c>
      <c r="I18" s="28" t="str">
        <f t="shared" si="3"/>
        <v/>
      </c>
      <c r="J18" s="28" t="str">
        <f t="shared" si="4"/>
        <v/>
      </c>
      <c r="K18" s="41"/>
      <c r="L18" s="28" t="str">
        <f t="shared" si="5"/>
        <v/>
      </c>
      <c r="M18" s="28" t="str">
        <f t="shared" si="6"/>
        <v/>
      </c>
      <c r="N18" s="39"/>
      <c r="O18" s="28" t="str">
        <f t="shared" si="7"/>
        <v/>
      </c>
      <c r="P18" s="28" t="str">
        <f t="shared" si="8"/>
        <v/>
      </c>
      <c r="Q18" s="39"/>
      <c r="R18" s="28" t="str">
        <f t="shared" si="9"/>
        <v/>
      </c>
      <c r="S18" s="39"/>
      <c r="T18" s="37"/>
      <c r="U18" s="42" t="str">
        <f>IFERROR(__xludf.DUMMYFUNCTION("IF(A18="""","""",IF(AND(REGEXMATCH(T18,""Dimension Report""),REGEXMATCH(T18,""Chemical Analysis Report""),REGEXMATCH(T18,""Drawing Report""),REGEXMATCH(T18,""Costing Report"")),""Done"",""Not Done""))"),"")</f>
        <v/>
      </c>
      <c r="V18" s="32" t="str">
        <f t="shared" si="10"/>
        <v/>
      </c>
      <c r="W18" s="34"/>
    </row>
    <row r="19" ht="22.5" customHeight="1">
      <c r="A19" s="34"/>
      <c r="B19" s="34"/>
      <c r="C19" s="34"/>
      <c r="D19" s="34"/>
      <c r="E19" s="34"/>
      <c r="F19" s="34"/>
      <c r="G19" s="28" t="str">
        <f t="shared" si="1"/>
        <v/>
      </c>
      <c r="H19" s="27" t="str">
        <f t="shared" si="2"/>
        <v/>
      </c>
      <c r="I19" s="28" t="str">
        <f t="shared" si="3"/>
        <v/>
      </c>
      <c r="J19" s="28" t="str">
        <f t="shared" si="4"/>
        <v/>
      </c>
      <c r="K19" s="41"/>
      <c r="L19" s="28" t="str">
        <f t="shared" si="5"/>
        <v/>
      </c>
      <c r="M19" s="28" t="str">
        <f t="shared" si="6"/>
        <v/>
      </c>
      <c r="N19" s="39"/>
      <c r="O19" s="28" t="str">
        <f t="shared" si="7"/>
        <v/>
      </c>
      <c r="P19" s="28" t="str">
        <f t="shared" si="8"/>
        <v/>
      </c>
      <c r="Q19" s="39"/>
      <c r="R19" s="28" t="str">
        <f t="shared" si="9"/>
        <v/>
      </c>
      <c r="S19" s="39"/>
      <c r="T19" s="37"/>
      <c r="U19" s="42" t="str">
        <f>IFERROR(__xludf.DUMMYFUNCTION("IF(A19="""","""",IF(AND(REGEXMATCH(T19,""Dimension Report""),REGEXMATCH(T19,""Chemical Analysis Report""),REGEXMATCH(T19,""Drawing Report""),REGEXMATCH(T19,""Costing Report"")),""Done"",""Not Done""))"),"")</f>
        <v/>
      </c>
      <c r="V19" s="32" t="str">
        <f t="shared" si="10"/>
        <v/>
      </c>
      <c r="W19" s="34"/>
    </row>
    <row r="20" ht="22.5" customHeight="1">
      <c r="A20" s="34"/>
      <c r="B20" s="34"/>
      <c r="C20" s="34"/>
      <c r="D20" s="34"/>
      <c r="E20" s="34"/>
      <c r="F20" s="34"/>
      <c r="G20" s="28" t="str">
        <f t="shared" si="1"/>
        <v/>
      </c>
      <c r="H20" s="27" t="str">
        <f t="shared" si="2"/>
        <v/>
      </c>
      <c r="I20" s="28" t="str">
        <f t="shared" si="3"/>
        <v/>
      </c>
      <c r="J20" s="28" t="str">
        <f t="shared" si="4"/>
        <v/>
      </c>
      <c r="K20" s="41"/>
      <c r="L20" s="28" t="str">
        <f t="shared" si="5"/>
        <v/>
      </c>
      <c r="M20" s="28" t="str">
        <f t="shared" si="6"/>
        <v/>
      </c>
      <c r="N20" s="39"/>
      <c r="O20" s="28" t="str">
        <f t="shared" si="7"/>
        <v/>
      </c>
      <c r="P20" s="28" t="str">
        <f t="shared" si="8"/>
        <v/>
      </c>
      <c r="Q20" s="39"/>
      <c r="R20" s="28" t="str">
        <f t="shared" si="9"/>
        <v/>
      </c>
      <c r="S20" s="39"/>
      <c r="T20" s="37"/>
      <c r="U20" s="42" t="str">
        <f>IFERROR(__xludf.DUMMYFUNCTION("IF(A20="""","""",IF(AND(REGEXMATCH(T20,""Dimension Report""),REGEXMATCH(T20,""Chemical Analysis Report""),REGEXMATCH(T20,""Drawing Report""),REGEXMATCH(T20,""Costing Report"")),""Done"",""Not Done""))"),"")</f>
        <v/>
      </c>
      <c r="V20" s="32" t="str">
        <f t="shared" si="10"/>
        <v/>
      </c>
      <c r="W20" s="34"/>
    </row>
    <row r="21" ht="22.5" customHeight="1">
      <c r="A21" s="34"/>
      <c r="B21" s="34"/>
      <c r="C21" s="34"/>
      <c r="D21" s="34"/>
      <c r="E21" s="34"/>
      <c r="F21" s="34"/>
      <c r="G21" s="28" t="str">
        <f t="shared" si="1"/>
        <v/>
      </c>
      <c r="H21" s="27" t="str">
        <f t="shared" si="2"/>
        <v/>
      </c>
      <c r="I21" s="28" t="str">
        <f t="shared" si="3"/>
        <v/>
      </c>
      <c r="J21" s="28" t="str">
        <f t="shared" si="4"/>
        <v/>
      </c>
      <c r="K21" s="41"/>
      <c r="L21" s="28" t="str">
        <f t="shared" si="5"/>
        <v/>
      </c>
      <c r="M21" s="28" t="str">
        <f t="shared" si="6"/>
        <v/>
      </c>
      <c r="N21" s="39"/>
      <c r="O21" s="28" t="str">
        <f t="shared" si="7"/>
        <v/>
      </c>
      <c r="P21" s="28" t="str">
        <f t="shared" si="8"/>
        <v/>
      </c>
      <c r="Q21" s="39"/>
      <c r="R21" s="28" t="str">
        <f t="shared" si="9"/>
        <v/>
      </c>
      <c r="S21" s="39"/>
      <c r="T21" s="37"/>
      <c r="U21" s="42" t="str">
        <f>IFERROR(__xludf.DUMMYFUNCTION("IF(A21="""","""",IF(AND(REGEXMATCH(T21,""Dimension Report""),REGEXMATCH(T21,""Chemical Analysis Report""),REGEXMATCH(T21,""Drawing Report""),REGEXMATCH(T21,""Costing Report"")),""Done"",""Not Done""))"),"")</f>
        <v/>
      </c>
      <c r="V21" s="32" t="str">
        <f t="shared" si="10"/>
        <v/>
      </c>
      <c r="W21" s="34"/>
    </row>
    <row r="22" ht="22.5" customHeight="1">
      <c r="A22" s="34"/>
      <c r="B22" s="34"/>
      <c r="C22" s="34"/>
      <c r="D22" s="34"/>
      <c r="E22" s="34"/>
      <c r="F22" s="34"/>
      <c r="G22" s="28" t="str">
        <f t="shared" si="1"/>
        <v/>
      </c>
      <c r="H22" s="27" t="str">
        <f t="shared" si="2"/>
        <v/>
      </c>
      <c r="I22" s="28" t="str">
        <f t="shared" si="3"/>
        <v/>
      </c>
      <c r="J22" s="28" t="str">
        <f t="shared" si="4"/>
        <v/>
      </c>
      <c r="K22" s="41"/>
      <c r="L22" s="28" t="str">
        <f t="shared" si="5"/>
        <v/>
      </c>
      <c r="M22" s="28" t="str">
        <f t="shared" si="6"/>
        <v/>
      </c>
      <c r="N22" s="39"/>
      <c r="O22" s="28" t="str">
        <f t="shared" si="7"/>
        <v/>
      </c>
      <c r="P22" s="28" t="str">
        <f t="shared" si="8"/>
        <v/>
      </c>
      <c r="Q22" s="39"/>
      <c r="R22" s="28" t="str">
        <f t="shared" si="9"/>
        <v/>
      </c>
      <c r="S22" s="39"/>
      <c r="T22" s="37"/>
      <c r="U22" s="42" t="str">
        <f>IFERROR(__xludf.DUMMYFUNCTION("IF(A22="""","""",IF(AND(REGEXMATCH(T22,""Dimension Report""),REGEXMATCH(T22,""Chemical Analysis Report""),REGEXMATCH(T22,""Drawing Report""),REGEXMATCH(T22,""Costing Report"")),""Done"",""Not Done""))"),"")</f>
        <v/>
      </c>
      <c r="V22" s="32" t="str">
        <f t="shared" si="10"/>
        <v/>
      </c>
      <c r="W22" s="34"/>
    </row>
    <row r="23" ht="22.5" customHeight="1">
      <c r="A23" s="34"/>
      <c r="B23" s="34"/>
      <c r="C23" s="34"/>
      <c r="D23" s="34"/>
      <c r="E23" s="34"/>
      <c r="F23" s="34"/>
      <c r="G23" s="28" t="str">
        <f t="shared" si="1"/>
        <v/>
      </c>
      <c r="H23" s="27" t="str">
        <f t="shared" si="2"/>
        <v/>
      </c>
      <c r="I23" s="28" t="str">
        <f t="shared" si="3"/>
        <v/>
      </c>
      <c r="J23" s="28" t="str">
        <f t="shared" si="4"/>
        <v/>
      </c>
      <c r="K23" s="41"/>
      <c r="L23" s="28" t="str">
        <f t="shared" si="5"/>
        <v/>
      </c>
      <c r="M23" s="28" t="str">
        <f t="shared" si="6"/>
        <v/>
      </c>
      <c r="N23" s="39"/>
      <c r="O23" s="28" t="str">
        <f t="shared" si="7"/>
        <v/>
      </c>
      <c r="P23" s="28" t="str">
        <f t="shared" si="8"/>
        <v/>
      </c>
      <c r="Q23" s="39"/>
      <c r="R23" s="28" t="str">
        <f t="shared" si="9"/>
        <v/>
      </c>
      <c r="S23" s="39"/>
      <c r="T23" s="37"/>
      <c r="U23" s="42" t="str">
        <f>IFERROR(__xludf.DUMMYFUNCTION("IF(A23="""","""",IF(AND(REGEXMATCH(T23,""Dimension Report""),REGEXMATCH(T23,""Chemical Analysis Report""),REGEXMATCH(T23,""Drawing Report""),REGEXMATCH(T23,""Costing Report"")),""Done"",""Not Done""))"),"")</f>
        <v/>
      </c>
      <c r="V23" s="32" t="str">
        <f t="shared" si="10"/>
        <v/>
      </c>
      <c r="W23" s="34"/>
    </row>
    <row r="24" ht="22.5" customHeight="1">
      <c r="A24" s="34"/>
      <c r="B24" s="34"/>
      <c r="C24" s="34"/>
      <c r="D24" s="34"/>
      <c r="E24" s="34"/>
      <c r="F24" s="34"/>
      <c r="G24" s="28" t="str">
        <f t="shared" si="1"/>
        <v/>
      </c>
      <c r="H24" s="27" t="str">
        <f t="shared" si="2"/>
        <v/>
      </c>
      <c r="I24" s="28" t="str">
        <f t="shared" si="3"/>
        <v/>
      </c>
      <c r="J24" s="28" t="str">
        <f t="shared" si="4"/>
        <v/>
      </c>
      <c r="K24" s="41"/>
      <c r="L24" s="28" t="str">
        <f t="shared" si="5"/>
        <v/>
      </c>
      <c r="M24" s="28" t="str">
        <f t="shared" si="6"/>
        <v/>
      </c>
      <c r="N24" s="39"/>
      <c r="O24" s="28" t="str">
        <f t="shared" si="7"/>
        <v/>
      </c>
      <c r="P24" s="28" t="str">
        <f t="shared" si="8"/>
        <v/>
      </c>
      <c r="Q24" s="39"/>
      <c r="R24" s="28" t="str">
        <f t="shared" si="9"/>
        <v/>
      </c>
      <c r="S24" s="39"/>
      <c r="T24" s="37"/>
      <c r="U24" s="42" t="str">
        <f>IFERROR(__xludf.DUMMYFUNCTION("IF(A24="""","""",IF(AND(REGEXMATCH(T24,""Dimension Report""),REGEXMATCH(T24,""Chemical Analysis Report""),REGEXMATCH(T24,""Drawing Report""),REGEXMATCH(T24,""Costing Report"")),""Done"",""Not Done""))"),"")</f>
        <v/>
      </c>
      <c r="V24" s="32" t="str">
        <f t="shared" si="10"/>
        <v/>
      </c>
      <c r="W24" s="34"/>
    </row>
    <row r="25" ht="22.5" customHeight="1">
      <c r="A25" s="34"/>
      <c r="B25" s="34"/>
      <c r="C25" s="34"/>
      <c r="D25" s="34"/>
      <c r="E25" s="34"/>
      <c r="F25" s="34"/>
      <c r="G25" s="28" t="str">
        <f t="shared" si="1"/>
        <v/>
      </c>
      <c r="H25" s="27" t="str">
        <f t="shared" si="2"/>
        <v/>
      </c>
      <c r="I25" s="28" t="str">
        <f t="shared" si="3"/>
        <v/>
      </c>
      <c r="J25" s="28" t="str">
        <f t="shared" si="4"/>
        <v/>
      </c>
      <c r="K25" s="41"/>
      <c r="L25" s="28" t="str">
        <f t="shared" si="5"/>
        <v/>
      </c>
      <c r="M25" s="28" t="str">
        <f t="shared" si="6"/>
        <v/>
      </c>
      <c r="N25" s="39"/>
      <c r="O25" s="28" t="str">
        <f t="shared" si="7"/>
        <v/>
      </c>
      <c r="P25" s="28" t="str">
        <f t="shared" si="8"/>
        <v/>
      </c>
      <c r="Q25" s="39"/>
      <c r="R25" s="28" t="str">
        <f t="shared" si="9"/>
        <v/>
      </c>
      <c r="S25" s="39"/>
      <c r="T25" s="37"/>
      <c r="U25" s="42" t="str">
        <f>IFERROR(__xludf.DUMMYFUNCTION("IF(A25="""","""",IF(AND(REGEXMATCH(T25,""Dimension Report""),REGEXMATCH(T25,""Chemical Analysis Report""),REGEXMATCH(T25,""Drawing Report""),REGEXMATCH(T25,""Costing Report"")),""Done"",""Not Done""))"),"")</f>
        <v/>
      </c>
      <c r="V25" s="32" t="str">
        <f t="shared" si="10"/>
        <v/>
      </c>
      <c r="W25" s="34"/>
    </row>
    <row r="26" ht="22.5" customHeight="1">
      <c r="A26" s="34"/>
      <c r="B26" s="34"/>
      <c r="C26" s="34"/>
      <c r="D26" s="34"/>
      <c r="E26" s="34"/>
      <c r="F26" s="34"/>
      <c r="G26" s="28" t="str">
        <f t="shared" si="1"/>
        <v/>
      </c>
      <c r="H26" s="27" t="str">
        <f t="shared" si="2"/>
        <v/>
      </c>
      <c r="I26" s="28" t="str">
        <f t="shared" si="3"/>
        <v/>
      </c>
      <c r="J26" s="28" t="str">
        <f t="shared" si="4"/>
        <v/>
      </c>
      <c r="K26" s="41"/>
      <c r="L26" s="28" t="str">
        <f t="shared" si="5"/>
        <v/>
      </c>
      <c r="M26" s="28" t="str">
        <f t="shared" si="6"/>
        <v/>
      </c>
      <c r="N26" s="39"/>
      <c r="O26" s="28" t="str">
        <f t="shared" si="7"/>
        <v/>
      </c>
      <c r="P26" s="28" t="str">
        <f t="shared" si="8"/>
        <v/>
      </c>
      <c r="Q26" s="39"/>
      <c r="R26" s="28" t="str">
        <f t="shared" si="9"/>
        <v/>
      </c>
      <c r="S26" s="39"/>
      <c r="T26" s="37"/>
      <c r="U26" s="42" t="str">
        <f>IFERROR(__xludf.DUMMYFUNCTION("IF(A26="""","""",IF(AND(REGEXMATCH(T26,""Dimension Report""),REGEXMATCH(T26,""Chemical Analysis Report""),REGEXMATCH(T26,""Drawing Report""),REGEXMATCH(T26,""Costing Report"")),""Done"",""Not Done""))"),"")</f>
        <v/>
      </c>
      <c r="V26" s="32" t="str">
        <f t="shared" si="10"/>
        <v/>
      </c>
      <c r="W26" s="34"/>
    </row>
    <row r="27" ht="22.5" customHeight="1">
      <c r="A27" s="34"/>
      <c r="B27" s="34"/>
      <c r="C27" s="34"/>
      <c r="D27" s="34"/>
      <c r="E27" s="34"/>
      <c r="F27" s="34"/>
      <c r="G27" s="28" t="str">
        <f t="shared" si="1"/>
        <v/>
      </c>
      <c r="H27" s="27" t="str">
        <f t="shared" si="2"/>
        <v/>
      </c>
      <c r="I27" s="28" t="str">
        <f t="shared" si="3"/>
        <v/>
      </c>
      <c r="J27" s="28" t="str">
        <f t="shared" si="4"/>
        <v/>
      </c>
      <c r="K27" s="41"/>
      <c r="L27" s="28" t="str">
        <f t="shared" si="5"/>
        <v/>
      </c>
      <c r="M27" s="28" t="str">
        <f t="shared" si="6"/>
        <v/>
      </c>
      <c r="N27" s="39"/>
      <c r="O27" s="28" t="str">
        <f t="shared" si="7"/>
        <v/>
      </c>
      <c r="P27" s="28" t="str">
        <f t="shared" si="8"/>
        <v/>
      </c>
      <c r="Q27" s="39"/>
      <c r="R27" s="28" t="str">
        <f t="shared" si="9"/>
        <v/>
      </c>
      <c r="S27" s="39"/>
      <c r="T27" s="37"/>
      <c r="U27" s="42" t="str">
        <f>IFERROR(__xludf.DUMMYFUNCTION("IF(A27="""","""",IF(AND(REGEXMATCH(T27,""Dimension Report""),REGEXMATCH(T27,""Chemical Analysis Report""),REGEXMATCH(T27,""Drawing Report""),REGEXMATCH(T27,""Costing Report"")),""Done"",""Not Done""))"),"")</f>
        <v/>
      </c>
      <c r="V27" s="32" t="str">
        <f t="shared" si="10"/>
        <v/>
      </c>
      <c r="W27" s="34"/>
    </row>
    <row r="28" ht="22.5" customHeight="1">
      <c r="A28" s="34"/>
      <c r="B28" s="34"/>
      <c r="C28" s="34"/>
      <c r="D28" s="34"/>
      <c r="E28" s="34"/>
      <c r="F28" s="34"/>
      <c r="G28" s="28" t="str">
        <f t="shared" si="1"/>
        <v/>
      </c>
      <c r="H28" s="27" t="str">
        <f t="shared" si="2"/>
        <v/>
      </c>
      <c r="I28" s="28" t="str">
        <f t="shared" si="3"/>
        <v/>
      </c>
      <c r="J28" s="28" t="str">
        <f t="shared" si="4"/>
        <v/>
      </c>
      <c r="K28" s="41"/>
      <c r="L28" s="28" t="str">
        <f t="shared" si="5"/>
        <v/>
      </c>
      <c r="M28" s="28" t="str">
        <f t="shared" si="6"/>
        <v/>
      </c>
      <c r="N28" s="39"/>
      <c r="O28" s="28" t="str">
        <f t="shared" si="7"/>
        <v/>
      </c>
      <c r="P28" s="28" t="str">
        <f t="shared" si="8"/>
        <v/>
      </c>
      <c r="Q28" s="39"/>
      <c r="R28" s="28" t="str">
        <f t="shared" si="9"/>
        <v/>
      </c>
      <c r="S28" s="39"/>
      <c r="T28" s="37"/>
      <c r="U28" s="42" t="str">
        <f>IFERROR(__xludf.DUMMYFUNCTION("IF(A28="""","""",IF(AND(REGEXMATCH(T28,""Dimension Report""),REGEXMATCH(T28,""Chemical Analysis Report""),REGEXMATCH(T28,""Drawing Report""),REGEXMATCH(T28,""Costing Report"")),""Done"",""Not Done""))"),"")</f>
        <v/>
      </c>
      <c r="V28" s="32" t="str">
        <f t="shared" si="10"/>
        <v/>
      </c>
      <c r="W28" s="34"/>
    </row>
    <row r="29" ht="22.5" customHeight="1">
      <c r="A29" s="34"/>
      <c r="B29" s="34"/>
      <c r="C29" s="34"/>
      <c r="D29" s="34"/>
      <c r="E29" s="34"/>
      <c r="F29" s="34"/>
      <c r="G29" s="28" t="str">
        <f t="shared" si="1"/>
        <v/>
      </c>
      <c r="H29" s="27" t="str">
        <f t="shared" si="2"/>
        <v/>
      </c>
      <c r="I29" s="28" t="str">
        <f t="shared" si="3"/>
        <v/>
      </c>
      <c r="J29" s="28" t="str">
        <f t="shared" si="4"/>
        <v/>
      </c>
      <c r="K29" s="41"/>
      <c r="L29" s="28" t="str">
        <f t="shared" si="5"/>
        <v/>
      </c>
      <c r="M29" s="28" t="str">
        <f t="shared" si="6"/>
        <v/>
      </c>
      <c r="N29" s="39"/>
      <c r="O29" s="28" t="str">
        <f t="shared" si="7"/>
        <v/>
      </c>
      <c r="P29" s="28" t="str">
        <f t="shared" si="8"/>
        <v/>
      </c>
      <c r="Q29" s="39"/>
      <c r="R29" s="28" t="str">
        <f t="shared" si="9"/>
        <v/>
      </c>
      <c r="S29" s="39"/>
      <c r="T29" s="37"/>
      <c r="U29" s="42" t="str">
        <f>IFERROR(__xludf.DUMMYFUNCTION("IF(A29="""","""",IF(AND(REGEXMATCH(T29,""Dimension Report""),REGEXMATCH(T29,""Chemical Analysis Report""),REGEXMATCH(T29,""Drawing Report""),REGEXMATCH(T29,""Costing Report"")),""Done"",""Not Done""))"),"")</f>
        <v/>
      </c>
      <c r="V29" s="32" t="str">
        <f t="shared" si="10"/>
        <v/>
      </c>
      <c r="W29" s="34"/>
    </row>
    <row r="30" ht="22.5" customHeight="1">
      <c r="A30" s="34"/>
      <c r="B30" s="34"/>
      <c r="C30" s="34"/>
      <c r="D30" s="34"/>
      <c r="E30" s="34"/>
      <c r="F30" s="34"/>
      <c r="G30" s="28" t="str">
        <f t="shared" si="1"/>
        <v/>
      </c>
      <c r="H30" s="27" t="str">
        <f t="shared" si="2"/>
        <v/>
      </c>
      <c r="I30" s="28" t="str">
        <f t="shared" si="3"/>
        <v/>
      </c>
      <c r="J30" s="28" t="str">
        <f t="shared" si="4"/>
        <v/>
      </c>
      <c r="K30" s="41"/>
      <c r="L30" s="28" t="str">
        <f t="shared" si="5"/>
        <v/>
      </c>
      <c r="M30" s="28" t="str">
        <f t="shared" si="6"/>
        <v/>
      </c>
      <c r="N30" s="39"/>
      <c r="O30" s="28" t="str">
        <f t="shared" si="7"/>
        <v/>
      </c>
      <c r="P30" s="28" t="str">
        <f t="shared" si="8"/>
        <v/>
      </c>
      <c r="Q30" s="39"/>
      <c r="R30" s="28" t="str">
        <f t="shared" si="9"/>
        <v/>
      </c>
      <c r="S30" s="39"/>
      <c r="T30" s="37"/>
      <c r="U30" s="42" t="str">
        <f>IFERROR(__xludf.DUMMYFUNCTION("IF(A30="""","""",IF(AND(REGEXMATCH(T30,""Dimension Report""),REGEXMATCH(T30,""Chemical Analysis Report""),REGEXMATCH(T30,""Drawing Report""),REGEXMATCH(T30,""Costing Report"")),""Done"",""Not Done""))"),"")</f>
        <v/>
      </c>
      <c r="V30" s="32" t="str">
        <f t="shared" si="10"/>
        <v/>
      </c>
      <c r="W30" s="34"/>
    </row>
    <row r="31" ht="22.5" customHeight="1">
      <c r="A31" s="34"/>
      <c r="B31" s="34"/>
      <c r="C31" s="34"/>
      <c r="D31" s="34"/>
      <c r="E31" s="34"/>
      <c r="F31" s="34"/>
      <c r="G31" s="28" t="str">
        <f t="shared" si="1"/>
        <v/>
      </c>
      <c r="H31" s="27" t="str">
        <f t="shared" si="2"/>
        <v/>
      </c>
      <c r="I31" s="28" t="str">
        <f t="shared" si="3"/>
        <v/>
      </c>
      <c r="J31" s="28" t="str">
        <f t="shared" si="4"/>
        <v/>
      </c>
      <c r="K31" s="41"/>
      <c r="L31" s="28" t="str">
        <f t="shared" si="5"/>
        <v/>
      </c>
      <c r="M31" s="28" t="str">
        <f t="shared" si="6"/>
        <v/>
      </c>
      <c r="N31" s="39"/>
      <c r="O31" s="28" t="str">
        <f t="shared" si="7"/>
        <v/>
      </c>
      <c r="P31" s="28" t="str">
        <f t="shared" si="8"/>
        <v/>
      </c>
      <c r="Q31" s="39"/>
      <c r="R31" s="28" t="str">
        <f t="shared" si="9"/>
        <v/>
      </c>
      <c r="S31" s="39"/>
      <c r="T31" s="37"/>
      <c r="U31" s="42" t="str">
        <f>IFERROR(__xludf.DUMMYFUNCTION("IF(A31="""","""",IF(AND(REGEXMATCH(T31,""Dimension Report""),REGEXMATCH(T31,""Chemical Analysis Report""),REGEXMATCH(T31,""Drawing Report""),REGEXMATCH(T31,""Costing Report"")),""Done"",""Not Done""))"),"")</f>
        <v/>
      </c>
      <c r="V31" s="32" t="str">
        <f t="shared" si="10"/>
        <v/>
      </c>
      <c r="W31" s="34"/>
    </row>
    <row r="32" ht="22.5" customHeight="1">
      <c r="A32" s="34"/>
      <c r="B32" s="34"/>
      <c r="C32" s="34"/>
      <c r="D32" s="34"/>
      <c r="E32" s="34"/>
      <c r="F32" s="34"/>
      <c r="G32" s="28" t="str">
        <f t="shared" si="1"/>
        <v/>
      </c>
      <c r="H32" s="27" t="str">
        <f t="shared" si="2"/>
        <v/>
      </c>
      <c r="I32" s="28" t="str">
        <f t="shared" si="3"/>
        <v/>
      </c>
      <c r="J32" s="28" t="str">
        <f t="shared" si="4"/>
        <v/>
      </c>
      <c r="K32" s="41"/>
      <c r="L32" s="28" t="str">
        <f t="shared" si="5"/>
        <v/>
      </c>
      <c r="M32" s="28" t="str">
        <f t="shared" si="6"/>
        <v/>
      </c>
      <c r="N32" s="39"/>
      <c r="O32" s="28" t="str">
        <f t="shared" si="7"/>
        <v/>
      </c>
      <c r="P32" s="28" t="str">
        <f t="shared" si="8"/>
        <v/>
      </c>
      <c r="Q32" s="39"/>
      <c r="R32" s="28" t="str">
        <f t="shared" si="9"/>
        <v/>
      </c>
      <c r="S32" s="39"/>
      <c r="T32" s="37"/>
      <c r="U32" s="42" t="str">
        <f>IFERROR(__xludf.DUMMYFUNCTION("IF(A32="""","""",IF(AND(REGEXMATCH(T32,""Dimension Report""),REGEXMATCH(T32,""Chemical Analysis Report""),REGEXMATCH(T32,""Drawing Report""),REGEXMATCH(T32,""Costing Report"")),""Done"",""Not Done""))"),"")</f>
        <v/>
      </c>
      <c r="V32" s="32" t="str">
        <f t="shared" si="10"/>
        <v/>
      </c>
      <c r="W32" s="34"/>
    </row>
    <row r="33" ht="22.5" customHeight="1">
      <c r="A33" s="34"/>
      <c r="B33" s="34"/>
      <c r="C33" s="34"/>
      <c r="D33" s="34"/>
      <c r="E33" s="34"/>
      <c r="F33" s="34"/>
      <c r="G33" s="28" t="str">
        <f t="shared" si="1"/>
        <v/>
      </c>
      <c r="H33" s="27" t="str">
        <f t="shared" si="2"/>
        <v/>
      </c>
      <c r="I33" s="28" t="str">
        <f t="shared" si="3"/>
        <v/>
      </c>
      <c r="J33" s="28" t="str">
        <f t="shared" si="4"/>
        <v/>
      </c>
      <c r="K33" s="41"/>
      <c r="L33" s="28" t="str">
        <f t="shared" si="5"/>
        <v/>
      </c>
      <c r="M33" s="28" t="str">
        <f t="shared" si="6"/>
        <v/>
      </c>
      <c r="N33" s="39"/>
      <c r="O33" s="28" t="str">
        <f t="shared" si="7"/>
        <v/>
      </c>
      <c r="P33" s="28" t="str">
        <f t="shared" si="8"/>
        <v/>
      </c>
      <c r="Q33" s="39"/>
      <c r="R33" s="28" t="str">
        <f t="shared" si="9"/>
        <v/>
      </c>
      <c r="S33" s="39"/>
      <c r="T33" s="37"/>
      <c r="U33" s="42" t="str">
        <f>IFERROR(__xludf.DUMMYFUNCTION("IF(A33="""","""",IF(AND(REGEXMATCH(T33,""Dimension Report""),REGEXMATCH(T33,""Chemical Analysis Report""),REGEXMATCH(T33,""Drawing Report""),REGEXMATCH(T33,""Costing Report"")),""Done"",""Not Done""))"),"")</f>
        <v/>
      </c>
      <c r="V33" s="32" t="str">
        <f t="shared" si="10"/>
        <v/>
      </c>
      <c r="W33" s="34"/>
    </row>
    <row r="34" ht="22.5" customHeight="1">
      <c r="A34" s="34"/>
      <c r="B34" s="34"/>
      <c r="C34" s="34"/>
      <c r="D34" s="34"/>
      <c r="E34" s="34"/>
      <c r="F34" s="34"/>
      <c r="G34" s="28" t="str">
        <f t="shared" si="1"/>
        <v/>
      </c>
      <c r="H34" s="27" t="str">
        <f t="shared" si="2"/>
        <v/>
      </c>
      <c r="I34" s="28" t="str">
        <f t="shared" si="3"/>
        <v/>
      </c>
      <c r="J34" s="28" t="str">
        <f t="shared" si="4"/>
        <v/>
      </c>
      <c r="K34" s="41"/>
      <c r="L34" s="28" t="str">
        <f t="shared" si="5"/>
        <v/>
      </c>
      <c r="M34" s="28" t="str">
        <f t="shared" si="6"/>
        <v/>
      </c>
      <c r="N34" s="39"/>
      <c r="O34" s="28" t="str">
        <f t="shared" si="7"/>
        <v/>
      </c>
      <c r="P34" s="28" t="str">
        <f t="shared" si="8"/>
        <v/>
      </c>
      <c r="Q34" s="39"/>
      <c r="R34" s="28" t="str">
        <f t="shared" si="9"/>
        <v/>
      </c>
      <c r="S34" s="39"/>
      <c r="T34" s="37"/>
      <c r="U34" s="42" t="str">
        <f>IFERROR(__xludf.DUMMYFUNCTION("IF(A34="""","""",IF(AND(REGEXMATCH(T34,""Dimension Report""),REGEXMATCH(T34,""Chemical Analysis Report""),REGEXMATCH(T34,""Drawing Report""),REGEXMATCH(T34,""Costing Report"")),""Done"",""Not Done""))"),"")</f>
        <v/>
      </c>
      <c r="V34" s="32" t="str">
        <f t="shared" si="10"/>
        <v/>
      </c>
      <c r="W34" s="34"/>
    </row>
    <row r="35" ht="22.5" customHeight="1">
      <c r="A35" s="34"/>
      <c r="B35" s="34"/>
      <c r="C35" s="34"/>
      <c r="D35" s="34"/>
      <c r="E35" s="34"/>
      <c r="F35" s="34"/>
      <c r="G35" s="28" t="str">
        <f t="shared" si="1"/>
        <v/>
      </c>
      <c r="H35" s="27" t="str">
        <f t="shared" si="2"/>
        <v/>
      </c>
      <c r="I35" s="28" t="str">
        <f t="shared" si="3"/>
        <v/>
      </c>
      <c r="J35" s="28" t="str">
        <f t="shared" si="4"/>
        <v/>
      </c>
      <c r="K35" s="41"/>
      <c r="L35" s="28" t="str">
        <f t="shared" si="5"/>
        <v/>
      </c>
      <c r="M35" s="28" t="str">
        <f t="shared" si="6"/>
        <v/>
      </c>
      <c r="N35" s="39"/>
      <c r="O35" s="28" t="str">
        <f t="shared" si="7"/>
        <v/>
      </c>
      <c r="P35" s="28" t="str">
        <f t="shared" si="8"/>
        <v/>
      </c>
      <c r="Q35" s="39"/>
      <c r="R35" s="28" t="str">
        <f t="shared" si="9"/>
        <v/>
      </c>
      <c r="S35" s="39"/>
      <c r="T35" s="37"/>
      <c r="U35" s="42" t="str">
        <f>IFERROR(__xludf.DUMMYFUNCTION("IF(A35="""","""",IF(AND(REGEXMATCH(T35,""Dimension Report""),REGEXMATCH(T35,""Chemical Analysis Report""),REGEXMATCH(T35,""Drawing Report""),REGEXMATCH(T35,""Costing Report"")),""Done"",""Not Done""))"),"")</f>
        <v/>
      </c>
      <c r="V35" s="32" t="str">
        <f t="shared" si="10"/>
        <v/>
      </c>
      <c r="W35" s="34"/>
    </row>
    <row r="36" ht="22.5" customHeight="1">
      <c r="A36" s="34"/>
      <c r="B36" s="34"/>
      <c r="C36" s="34"/>
      <c r="D36" s="34"/>
      <c r="E36" s="34"/>
      <c r="F36" s="34"/>
      <c r="G36" s="28" t="str">
        <f t="shared" si="1"/>
        <v/>
      </c>
      <c r="H36" s="27" t="str">
        <f t="shared" si="2"/>
        <v/>
      </c>
      <c r="I36" s="28" t="str">
        <f t="shared" si="3"/>
        <v/>
      </c>
      <c r="J36" s="28" t="str">
        <f t="shared" si="4"/>
        <v/>
      </c>
      <c r="K36" s="41"/>
      <c r="L36" s="28" t="str">
        <f t="shared" si="5"/>
        <v/>
      </c>
      <c r="M36" s="28" t="str">
        <f t="shared" si="6"/>
        <v/>
      </c>
      <c r="N36" s="39"/>
      <c r="O36" s="28" t="str">
        <f t="shared" si="7"/>
        <v/>
      </c>
      <c r="P36" s="28" t="str">
        <f t="shared" si="8"/>
        <v/>
      </c>
      <c r="Q36" s="39"/>
      <c r="R36" s="28" t="str">
        <f t="shared" si="9"/>
        <v/>
      </c>
      <c r="S36" s="39"/>
      <c r="T36" s="37"/>
      <c r="U36" s="42" t="str">
        <f>IFERROR(__xludf.DUMMYFUNCTION("IF(A36="""","""",IF(AND(REGEXMATCH(T36,""Dimension Report""),REGEXMATCH(T36,""Chemical Analysis Report""),REGEXMATCH(T36,""Drawing Report""),REGEXMATCH(T36,""Costing Report"")),""Done"",""Not Done""))"),"")</f>
        <v/>
      </c>
      <c r="V36" s="32" t="str">
        <f t="shared" si="10"/>
        <v/>
      </c>
      <c r="W36" s="34"/>
    </row>
    <row r="37" ht="22.5" customHeight="1">
      <c r="A37" s="34"/>
      <c r="B37" s="34"/>
      <c r="C37" s="34"/>
      <c r="D37" s="34"/>
      <c r="E37" s="34"/>
      <c r="F37" s="34"/>
      <c r="G37" s="28" t="str">
        <f t="shared" si="1"/>
        <v/>
      </c>
      <c r="H37" s="27" t="str">
        <f t="shared" si="2"/>
        <v/>
      </c>
      <c r="I37" s="28" t="str">
        <f t="shared" si="3"/>
        <v/>
      </c>
      <c r="J37" s="28" t="str">
        <f t="shared" si="4"/>
        <v/>
      </c>
      <c r="K37" s="41"/>
      <c r="L37" s="28" t="str">
        <f t="shared" si="5"/>
        <v/>
      </c>
      <c r="M37" s="28" t="str">
        <f t="shared" si="6"/>
        <v/>
      </c>
      <c r="N37" s="39"/>
      <c r="O37" s="28" t="str">
        <f t="shared" si="7"/>
        <v/>
      </c>
      <c r="P37" s="28" t="str">
        <f t="shared" si="8"/>
        <v/>
      </c>
      <c r="Q37" s="39"/>
      <c r="R37" s="28" t="str">
        <f t="shared" si="9"/>
        <v/>
      </c>
      <c r="S37" s="39"/>
      <c r="T37" s="37"/>
      <c r="U37" s="42" t="str">
        <f>IFERROR(__xludf.DUMMYFUNCTION("IF(A37="""","""",IF(AND(REGEXMATCH(T37,""Dimension Report""),REGEXMATCH(T37,""Chemical Analysis Report""),REGEXMATCH(T37,""Drawing Report""),REGEXMATCH(T37,""Costing Report"")),""Done"",""Not Done""))"),"")</f>
        <v/>
      </c>
      <c r="V37" s="32" t="str">
        <f t="shared" si="10"/>
        <v/>
      </c>
      <c r="W37" s="34"/>
    </row>
    <row r="38" ht="22.5" customHeight="1">
      <c r="A38" s="34"/>
      <c r="B38" s="34"/>
      <c r="C38" s="34"/>
      <c r="D38" s="34"/>
      <c r="E38" s="34"/>
      <c r="F38" s="34"/>
      <c r="G38" s="28" t="str">
        <f t="shared" si="1"/>
        <v/>
      </c>
      <c r="H38" s="27" t="str">
        <f t="shared" si="2"/>
        <v/>
      </c>
      <c r="I38" s="28" t="str">
        <f t="shared" si="3"/>
        <v/>
      </c>
      <c r="J38" s="28" t="str">
        <f t="shared" si="4"/>
        <v/>
      </c>
      <c r="K38" s="41"/>
      <c r="L38" s="28" t="str">
        <f t="shared" si="5"/>
        <v/>
      </c>
      <c r="M38" s="28" t="str">
        <f t="shared" si="6"/>
        <v/>
      </c>
      <c r="N38" s="39"/>
      <c r="O38" s="28" t="str">
        <f t="shared" si="7"/>
        <v/>
      </c>
      <c r="P38" s="28" t="str">
        <f t="shared" si="8"/>
        <v/>
      </c>
      <c r="Q38" s="39"/>
      <c r="R38" s="28" t="str">
        <f t="shared" si="9"/>
        <v/>
      </c>
      <c r="S38" s="39"/>
      <c r="T38" s="37"/>
      <c r="U38" s="42" t="str">
        <f>IFERROR(__xludf.DUMMYFUNCTION("IF(A38="""","""",IF(AND(REGEXMATCH(T38,""Dimension Report""),REGEXMATCH(T38,""Chemical Analysis Report""),REGEXMATCH(T38,""Drawing Report""),REGEXMATCH(T38,""Costing Report"")),""Done"",""Not Done""))"),"")</f>
        <v/>
      </c>
      <c r="V38" s="32" t="str">
        <f t="shared" si="10"/>
        <v/>
      </c>
      <c r="W38" s="34"/>
    </row>
    <row r="39" ht="22.5" customHeight="1">
      <c r="A39" s="34"/>
      <c r="B39" s="34"/>
      <c r="C39" s="34"/>
      <c r="D39" s="34"/>
      <c r="E39" s="34"/>
      <c r="F39" s="34"/>
      <c r="G39" s="28" t="str">
        <f t="shared" si="1"/>
        <v/>
      </c>
      <c r="H39" s="27" t="str">
        <f t="shared" si="2"/>
        <v/>
      </c>
      <c r="I39" s="28" t="str">
        <f t="shared" si="3"/>
        <v/>
      </c>
      <c r="J39" s="28" t="str">
        <f t="shared" si="4"/>
        <v/>
      </c>
      <c r="K39" s="41"/>
      <c r="L39" s="28" t="str">
        <f t="shared" si="5"/>
        <v/>
      </c>
      <c r="M39" s="28" t="str">
        <f t="shared" si="6"/>
        <v/>
      </c>
      <c r="N39" s="39"/>
      <c r="O39" s="28" t="str">
        <f t="shared" si="7"/>
        <v/>
      </c>
      <c r="P39" s="28" t="str">
        <f t="shared" si="8"/>
        <v/>
      </c>
      <c r="Q39" s="39"/>
      <c r="R39" s="28" t="str">
        <f t="shared" si="9"/>
        <v/>
      </c>
      <c r="S39" s="39"/>
      <c r="T39" s="37"/>
      <c r="U39" s="42" t="str">
        <f>IFERROR(__xludf.DUMMYFUNCTION("IF(A39="""","""",IF(AND(REGEXMATCH(T39,""Dimension Report""),REGEXMATCH(T39,""Chemical Analysis Report""),REGEXMATCH(T39,""Drawing Report""),REGEXMATCH(T39,""Costing Report"")),""Done"",""Not Done""))"),"")</f>
        <v/>
      </c>
      <c r="V39" s="32" t="str">
        <f t="shared" si="10"/>
        <v/>
      </c>
      <c r="W39" s="34"/>
    </row>
    <row r="40" ht="22.5" customHeight="1">
      <c r="A40" s="34"/>
      <c r="B40" s="34"/>
      <c r="C40" s="34"/>
      <c r="D40" s="34"/>
      <c r="E40" s="34"/>
      <c r="F40" s="34"/>
      <c r="G40" s="28" t="str">
        <f t="shared" si="1"/>
        <v/>
      </c>
      <c r="H40" s="27" t="str">
        <f t="shared" si="2"/>
        <v/>
      </c>
      <c r="I40" s="28" t="str">
        <f t="shared" si="3"/>
        <v/>
      </c>
      <c r="J40" s="28" t="str">
        <f t="shared" si="4"/>
        <v/>
      </c>
      <c r="K40" s="41"/>
      <c r="L40" s="28" t="str">
        <f t="shared" si="5"/>
        <v/>
      </c>
      <c r="M40" s="28" t="str">
        <f t="shared" si="6"/>
        <v/>
      </c>
      <c r="N40" s="39"/>
      <c r="O40" s="28" t="str">
        <f t="shared" si="7"/>
        <v/>
      </c>
      <c r="P40" s="28" t="str">
        <f t="shared" si="8"/>
        <v/>
      </c>
      <c r="Q40" s="39"/>
      <c r="R40" s="28" t="str">
        <f t="shared" si="9"/>
        <v/>
      </c>
      <c r="S40" s="39"/>
      <c r="T40" s="37"/>
      <c r="U40" s="42" t="str">
        <f>IFERROR(__xludf.DUMMYFUNCTION("IF(A40="""","""",IF(AND(REGEXMATCH(T40,""Dimension Report""),REGEXMATCH(T40,""Chemical Analysis Report""),REGEXMATCH(T40,""Drawing Report""),REGEXMATCH(T40,""Costing Report"")),""Done"",""Not Done""))"),"")</f>
        <v/>
      </c>
      <c r="V40" s="32" t="str">
        <f t="shared" si="10"/>
        <v/>
      </c>
      <c r="W40" s="34"/>
    </row>
    <row r="41" ht="22.5" customHeight="1">
      <c r="A41" s="34"/>
      <c r="B41" s="34"/>
      <c r="C41" s="34"/>
      <c r="D41" s="34"/>
      <c r="E41" s="34"/>
      <c r="F41" s="34"/>
      <c r="G41" s="28" t="str">
        <f t="shared" si="1"/>
        <v/>
      </c>
      <c r="H41" s="27" t="str">
        <f t="shared" si="2"/>
        <v/>
      </c>
      <c r="I41" s="28" t="str">
        <f t="shared" si="3"/>
        <v/>
      </c>
      <c r="J41" s="28" t="str">
        <f t="shared" si="4"/>
        <v/>
      </c>
      <c r="K41" s="41"/>
      <c r="L41" s="28" t="str">
        <f t="shared" si="5"/>
        <v/>
      </c>
      <c r="M41" s="28" t="str">
        <f t="shared" si="6"/>
        <v/>
      </c>
      <c r="N41" s="39"/>
      <c r="O41" s="28" t="str">
        <f t="shared" si="7"/>
        <v/>
      </c>
      <c r="P41" s="28" t="str">
        <f t="shared" si="8"/>
        <v/>
      </c>
      <c r="Q41" s="39"/>
      <c r="R41" s="28" t="str">
        <f t="shared" si="9"/>
        <v/>
      </c>
      <c r="S41" s="39"/>
      <c r="T41" s="37"/>
      <c r="U41" s="42" t="str">
        <f>IFERROR(__xludf.DUMMYFUNCTION("IF(A41="""","""",IF(AND(REGEXMATCH(T41,""Dimension Report""),REGEXMATCH(T41,""Chemical Analysis Report""),REGEXMATCH(T41,""Drawing Report""),REGEXMATCH(T41,""Costing Report"")),""Done"",""Not Done""))"),"")</f>
        <v/>
      </c>
      <c r="V41" s="32" t="str">
        <f t="shared" si="10"/>
        <v/>
      </c>
      <c r="W41" s="34"/>
    </row>
    <row r="42" ht="22.5" customHeight="1">
      <c r="A42" s="34"/>
      <c r="B42" s="34"/>
      <c r="C42" s="34"/>
      <c r="D42" s="34"/>
      <c r="E42" s="34"/>
      <c r="F42" s="34"/>
      <c r="G42" s="28" t="str">
        <f t="shared" si="1"/>
        <v/>
      </c>
      <c r="H42" s="27" t="str">
        <f t="shared" si="2"/>
        <v/>
      </c>
      <c r="I42" s="28" t="str">
        <f t="shared" si="3"/>
        <v/>
      </c>
      <c r="J42" s="28" t="str">
        <f t="shared" si="4"/>
        <v/>
      </c>
      <c r="K42" s="41"/>
      <c r="L42" s="28" t="str">
        <f t="shared" si="5"/>
        <v/>
      </c>
      <c r="M42" s="28" t="str">
        <f t="shared" si="6"/>
        <v/>
      </c>
      <c r="N42" s="39"/>
      <c r="O42" s="28" t="str">
        <f t="shared" si="7"/>
        <v/>
      </c>
      <c r="P42" s="28" t="str">
        <f t="shared" si="8"/>
        <v/>
      </c>
      <c r="Q42" s="39"/>
      <c r="R42" s="28" t="str">
        <f t="shared" si="9"/>
        <v/>
      </c>
      <c r="S42" s="39"/>
      <c r="T42" s="37"/>
      <c r="U42" s="42" t="str">
        <f>IFERROR(__xludf.DUMMYFUNCTION("IF(A42="""","""",IF(AND(REGEXMATCH(T42,""Dimension Report""),REGEXMATCH(T42,""Chemical Analysis Report""),REGEXMATCH(T42,""Drawing Report""),REGEXMATCH(T42,""Costing Report"")),""Done"",""Not Done""))"),"")</f>
        <v/>
      </c>
      <c r="V42" s="32" t="str">
        <f t="shared" si="10"/>
        <v/>
      </c>
      <c r="W42" s="34"/>
    </row>
    <row r="43" ht="22.5" customHeight="1">
      <c r="A43" s="34"/>
      <c r="B43" s="34"/>
      <c r="C43" s="34"/>
      <c r="D43" s="34"/>
      <c r="E43" s="34"/>
      <c r="F43" s="34"/>
      <c r="G43" s="28" t="str">
        <f t="shared" si="1"/>
        <v/>
      </c>
      <c r="H43" s="27" t="str">
        <f t="shared" si="2"/>
        <v/>
      </c>
      <c r="I43" s="28" t="str">
        <f t="shared" si="3"/>
        <v/>
      </c>
      <c r="J43" s="28" t="str">
        <f t="shared" si="4"/>
        <v/>
      </c>
      <c r="K43" s="41"/>
      <c r="L43" s="28" t="str">
        <f t="shared" si="5"/>
        <v/>
      </c>
      <c r="M43" s="28" t="str">
        <f t="shared" si="6"/>
        <v/>
      </c>
      <c r="N43" s="39"/>
      <c r="O43" s="28" t="str">
        <f t="shared" si="7"/>
        <v/>
      </c>
      <c r="P43" s="28" t="str">
        <f t="shared" si="8"/>
        <v/>
      </c>
      <c r="Q43" s="39"/>
      <c r="R43" s="28" t="str">
        <f t="shared" si="9"/>
        <v/>
      </c>
      <c r="S43" s="39"/>
      <c r="T43" s="37"/>
      <c r="U43" s="42" t="str">
        <f>IFERROR(__xludf.DUMMYFUNCTION("IF(A43="""","""",IF(AND(REGEXMATCH(T43,""Dimension Report""),REGEXMATCH(T43,""Chemical Analysis Report""),REGEXMATCH(T43,""Drawing Report""),REGEXMATCH(T43,""Costing Report"")),""Done"",""Not Done""))"),"")</f>
        <v/>
      </c>
      <c r="V43" s="32" t="str">
        <f t="shared" si="10"/>
        <v/>
      </c>
      <c r="W43" s="34"/>
    </row>
    <row r="44" ht="22.5" customHeight="1">
      <c r="A44" s="34"/>
      <c r="B44" s="34"/>
      <c r="C44" s="34"/>
      <c r="D44" s="34"/>
      <c r="E44" s="34"/>
      <c r="F44" s="34"/>
      <c r="G44" s="28" t="str">
        <f t="shared" si="1"/>
        <v/>
      </c>
      <c r="H44" s="27" t="str">
        <f t="shared" si="2"/>
        <v/>
      </c>
      <c r="I44" s="28" t="str">
        <f t="shared" si="3"/>
        <v/>
      </c>
      <c r="J44" s="28" t="str">
        <f t="shared" si="4"/>
        <v/>
      </c>
      <c r="K44" s="41"/>
      <c r="L44" s="28" t="str">
        <f t="shared" si="5"/>
        <v/>
      </c>
      <c r="M44" s="28" t="str">
        <f t="shared" si="6"/>
        <v/>
      </c>
      <c r="N44" s="39"/>
      <c r="O44" s="28" t="str">
        <f t="shared" si="7"/>
        <v/>
      </c>
      <c r="P44" s="28" t="str">
        <f t="shared" si="8"/>
        <v/>
      </c>
      <c r="Q44" s="39"/>
      <c r="R44" s="28" t="str">
        <f t="shared" si="9"/>
        <v/>
      </c>
      <c r="S44" s="39"/>
      <c r="T44" s="37"/>
      <c r="U44" s="42" t="str">
        <f>IFERROR(__xludf.DUMMYFUNCTION("IF(A44="""","""",IF(AND(REGEXMATCH(T44,""Dimension Report""),REGEXMATCH(T44,""Chemical Analysis Report""),REGEXMATCH(T44,""Drawing Report""),REGEXMATCH(T44,""Costing Report"")),""Done"",""Not Done""))"),"")</f>
        <v/>
      </c>
      <c r="V44" s="32" t="str">
        <f t="shared" si="10"/>
        <v/>
      </c>
      <c r="W44" s="34"/>
    </row>
    <row r="45" ht="22.5" customHeight="1">
      <c r="A45" s="34"/>
      <c r="B45" s="34"/>
      <c r="C45" s="34"/>
      <c r="D45" s="34"/>
      <c r="E45" s="34"/>
      <c r="F45" s="34"/>
      <c r="G45" s="28" t="str">
        <f t="shared" si="1"/>
        <v/>
      </c>
      <c r="H45" s="27" t="str">
        <f t="shared" si="2"/>
        <v/>
      </c>
      <c r="I45" s="28" t="str">
        <f t="shared" si="3"/>
        <v/>
      </c>
      <c r="J45" s="28" t="str">
        <f t="shared" si="4"/>
        <v/>
      </c>
      <c r="K45" s="41"/>
      <c r="L45" s="28" t="str">
        <f t="shared" si="5"/>
        <v/>
      </c>
      <c r="M45" s="28" t="str">
        <f t="shared" si="6"/>
        <v/>
      </c>
      <c r="N45" s="39"/>
      <c r="O45" s="28" t="str">
        <f t="shared" si="7"/>
        <v/>
      </c>
      <c r="P45" s="28" t="str">
        <f t="shared" si="8"/>
        <v/>
      </c>
      <c r="Q45" s="39"/>
      <c r="R45" s="28" t="str">
        <f t="shared" si="9"/>
        <v/>
      </c>
      <c r="S45" s="39"/>
      <c r="T45" s="37"/>
      <c r="U45" s="42" t="str">
        <f>IFERROR(__xludf.DUMMYFUNCTION("IF(A45="""","""",IF(AND(REGEXMATCH(T45,""Dimension Report""),REGEXMATCH(T45,""Chemical Analysis Report""),REGEXMATCH(T45,""Drawing Report""),REGEXMATCH(T45,""Costing Report"")),""Done"",""Not Done""))"),"")</f>
        <v/>
      </c>
      <c r="V45" s="32" t="str">
        <f t="shared" si="10"/>
        <v/>
      </c>
      <c r="W45" s="34"/>
    </row>
    <row r="46" ht="22.5" customHeight="1">
      <c r="A46" s="34"/>
      <c r="B46" s="34"/>
      <c r="C46" s="34"/>
      <c r="D46" s="34"/>
      <c r="E46" s="34"/>
      <c r="F46" s="34"/>
      <c r="G46" s="28" t="str">
        <f t="shared" si="1"/>
        <v/>
      </c>
      <c r="H46" s="27" t="str">
        <f t="shared" si="2"/>
        <v/>
      </c>
      <c r="I46" s="28" t="str">
        <f t="shared" si="3"/>
        <v/>
      </c>
      <c r="J46" s="28" t="str">
        <f t="shared" si="4"/>
        <v/>
      </c>
      <c r="K46" s="41"/>
      <c r="L46" s="28" t="str">
        <f t="shared" si="5"/>
        <v/>
      </c>
      <c r="M46" s="28" t="str">
        <f t="shared" si="6"/>
        <v/>
      </c>
      <c r="N46" s="39"/>
      <c r="O46" s="28" t="str">
        <f t="shared" si="7"/>
        <v/>
      </c>
      <c r="P46" s="28" t="str">
        <f t="shared" si="8"/>
        <v/>
      </c>
      <c r="Q46" s="39"/>
      <c r="R46" s="28" t="str">
        <f t="shared" si="9"/>
        <v/>
      </c>
      <c r="S46" s="39"/>
      <c r="T46" s="37"/>
      <c r="U46" s="42" t="str">
        <f>IFERROR(__xludf.DUMMYFUNCTION("IF(A46="""","""",IF(AND(REGEXMATCH(T46,""Dimension Report""),REGEXMATCH(T46,""Chemical Analysis Report""),REGEXMATCH(T46,""Drawing Report""),REGEXMATCH(T46,""Costing Report"")),""Done"",""Not Done""))"),"")</f>
        <v/>
      </c>
      <c r="V46" s="32" t="str">
        <f t="shared" si="10"/>
        <v/>
      </c>
      <c r="W46" s="34"/>
    </row>
    <row r="47" ht="22.5" customHeight="1">
      <c r="A47" s="34"/>
      <c r="B47" s="34"/>
      <c r="C47" s="34"/>
      <c r="D47" s="34"/>
      <c r="E47" s="34"/>
      <c r="F47" s="34"/>
      <c r="G47" s="28" t="str">
        <f t="shared" si="1"/>
        <v/>
      </c>
      <c r="H47" s="27" t="str">
        <f t="shared" si="2"/>
        <v/>
      </c>
      <c r="I47" s="28" t="str">
        <f t="shared" si="3"/>
        <v/>
      </c>
      <c r="J47" s="28" t="str">
        <f t="shared" si="4"/>
        <v/>
      </c>
      <c r="K47" s="41"/>
      <c r="L47" s="28" t="str">
        <f t="shared" si="5"/>
        <v/>
      </c>
      <c r="M47" s="28" t="str">
        <f t="shared" si="6"/>
        <v/>
      </c>
      <c r="N47" s="39"/>
      <c r="O47" s="28" t="str">
        <f t="shared" si="7"/>
        <v/>
      </c>
      <c r="P47" s="28" t="str">
        <f t="shared" si="8"/>
        <v/>
      </c>
      <c r="Q47" s="39"/>
      <c r="R47" s="28" t="str">
        <f t="shared" si="9"/>
        <v/>
      </c>
      <c r="S47" s="39"/>
      <c r="T47" s="37"/>
      <c r="U47" s="42" t="str">
        <f>IFERROR(__xludf.DUMMYFUNCTION("IF(A47="""","""",IF(AND(REGEXMATCH(T47,""Dimension Report""),REGEXMATCH(T47,""Chemical Analysis Report""),REGEXMATCH(T47,""Drawing Report""),REGEXMATCH(T47,""Costing Report"")),""Done"",""Not Done""))"),"")</f>
        <v/>
      </c>
      <c r="V47" s="32" t="str">
        <f t="shared" si="10"/>
        <v/>
      </c>
      <c r="W47" s="34"/>
    </row>
    <row r="48" ht="22.5" customHeight="1">
      <c r="A48" s="34"/>
      <c r="B48" s="34"/>
      <c r="C48" s="34"/>
      <c r="D48" s="34"/>
      <c r="E48" s="34"/>
      <c r="F48" s="34"/>
      <c r="G48" s="28" t="str">
        <f t="shared" si="1"/>
        <v/>
      </c>
      <c r="H48" s="27" t="str">
        <f t="shared" si="2"/>
        <v/>
      </c>
      <c r="I48" s="28" t="str">
        <f t="shared" si="3"/>
        <v/>
      </c>
      <c r="J48" s="28" t="str">
        <f t="shared" si="4"/>
        <v/>
      </c>
      <c r="K48" s="41"/>
      <c r="L48" s="28" t="str">
        <f t="shared" si="5"/>
        <v/>
      </c>
      <c r="M48" s="28" t="str">
        <f t="shared" si="6"/>
        <v/>
      </c>
      <c r="N48" s="39"/>
      <c r="O48" s="28" t="str">
        <f t="shared" si="7"/>
        <v/>
      </c>
      <c r="P48" s="28" t="str">
        <f t="shared" si="8"/>
        <v/>
      </c>
      <c r="Q48" s="39"/>
      <c r="R48" s="28" t="str">
        <f t="shared" si="9"/>
        <v/>
      </c>
      <c r="S48" s="39"/>
      <c r="T48" s="37"/>
      <c r="U48" s="42" t="str">
        <f>IFERROR(__xludf.DUMMYFUNCTION("IF(A48="""","""",IF(AND(REGEXMATCH(T48,""Dimension Report""),REGEXMATCH(T48,""Chemical Analysis Report""),REGEXMATCH(T48,""Drawing Report""),REGEXMATCH(T48,""Costing Report"")),""Done"",""Not Done""))"),"")</f>
        <v/>
      </c>
      <c r="V48" s="32" t="str">
        <f t="shared" si="10"/>
        <v/>
      </c>
      <c r="W48" s="34"/>
    </row>
    <row r="49" ht="22.5" customHeight="1">
      <c r="A49" s="34"/>
      <c r="B49" s="34"/>
      <c r="C49" s="34"/>
      <c r="D49" s="34"/>
      <c r="E49" s="34"/>
      <c r="F49" s="34"/>
      <c r="G49" s="28" t="str">
        <f t="shared" si="1"/>
        <v/>
      </c>
      <c r="H49" s="27" t="str">
        <f t="shared" si="2"/>
        <v/>
      </c>
      <c r="I49" s="28" t="str">
        <f t="shared" si="3"/>
        <v/>
      </c>
      <c r="J49" s="28" t="str">
        <f t="shared" si="4"/>
        <v/>
      </c>
      <c r="K49" s="41"/>
      <c r="L49" s="28" t="str">
        <f t="shared" si="5"/>
        <v/>
      </c>
      <c r="M49" s="28" t="str">
        <f t="shared" si="6"/>
        <v/>
      </c>
      <c r="N49" s="39"/>
      <c r="O49" s="28" t="str">
        <f t="shared" si="7"/>
        <v/>
      </c>
      <c r="P49" s="28" t="str">
        <f t="shared" si="8"/>
        <v/>
      </c>
      <c r="Q49" s="39"/>
      <c r="R49" s="28" t="str">
        <f t="shared" si="9"/>
        <v/>
      </c>
      <c r="S49" s="39"/>
      <c r="T49" s="37"/>
      <c r="U49" s="42" t="str">
        <f>IFERROR(__xludf.DUMMYFUNCTION("IF(A49="""","""",IF(AND(REGEXMATCH(T49,""Dimension Report""),REGEXMATCH(T49,""Chemical Analysis Report""),REGEXMATCH(T49,""Drawing Report""),REGEXMATCH(T49,""Costing Report"")),""Done"",""Not Done""))"),"")</f>
        <v/>
      </c>
      <c r="V49" s="32" t="str">
        <f t="shared" si="10"/>
        <v/>
      </c>
      <c r="W49" s="34"/>
    </row>
    <row r="50" ht="22.5" customHeight="1">
      <c r="A50" s="34"/>
      <c r="B50" s="34"/>
      <c r="C50" s="34"/>
      <c r="D50" s="34"/>
      <c r="E50" s="34"/>
      <c r="F50" s="34"/>
      <c r="G50" s="28" t="str">
        <f t="shared" si="1"/>
        <v/>
      </c>
      <c r="H50" s="27" t="str">
        <f t="shared" si="2"/>
        <v/>
      </c>
      <c r="I50" s="28" t="str">
        <f t="shared" si="3"/>
        <v/>
      </c>
      <c r="J50" s="28" t="str">
        <f t="shared" si="4"/>
        <v/>
      </c>
      <c r="K50" s="41"/>
      <c r="L50" s="28" t="str">
        <f t="shared" si="5"/>
        <v/>
      </c>
      <c r="M50" s="28" t="str">
        <f t="shared" si="6"/>
        <v/>
      </c>
      <c r="N50" s="39"/>
      <c r="O50" s="28" t="str">
        <f t="shared" si="7"/>
        <v/>
      </c>
      <c r="P50" s="28" t="str">
        <f t="shared" si="8"/>
        <v/>
      </c>
      <c r="Q50" s="39"/>
      <c r="R50" s="28" t="str">
        <f t="shared" si="9"/>
        <v/>
      </c>
      <c r="S50" s="39"/>
      <c r="T50" s="37"/>
      <c r="U50" s="42" t="str">
        <f>IFERROR(__xludf.DUMMYFUNCTION("IF(A50="""","""",IF(AND(REGEXMATCH(T50,""Dimension Report""),REGEXMATCH(T50,""Chemical Analysis Report""),REGEXMATCH(T50,""Drawing Report""),REGEXMATCH(T50,""Costing Report"")),""Done"",""Not Done""))"),"")</f>
        <v/>
      </c>
      <c r="V50" s="32" t="str">
        <f t="shared" si="10"/>
        <v/>
      </c>
      <c r="W50" s="34"/>
    </row>
    <row r="51" ht="22.5" customHeight="1">
      <c r="A51" s="34"/>
      <c r="B51" s="34"/>
      <c r="C51" s="34"/>
      <c r="D51" s="34"/>
      <c r="E51" s="34"/>
      <c r="F51" s="34"/>
      <c r="G51" s="28" t="str">
        <f t="shared" si="1"/>
        <v/>
      </c>
      <c r="H51" s="27" t="str">
        <f t="shared" si="2"/>
        <v/>
      </c>
      <c r="I51" s="28" t="str">
        <f t="shared" si="3"/>
        <v/>
      </c>
      <c r="J51" s="28" t="str">
        <f t="shared" si="4"/>
        <v/>
      </c>
      <c r="K51" s="41"/>
      <c r="L51" s="28" t="str">
        <f t="shared" si="5"/>
        <v/>
      </c>
      <c r="M51" s="28" t="str">
        <f t="shared" si="6"/>
        <v/>
      </c>
      <c r="N51" s="39"/>
      <c r="O51" s="28" t="str">
        <f t="shared" si="7"/>
        <v/>
      </c>
      <c r="P51" s="28" t="str">
        <f t="shared" si="8"/>
        <v/>
      </c>
      <c r="Q51" s="39"/>
      <c r="R51" s="28" t="str">
        <f t="shared" si="9"/>
        <v/>
      </c>
      <c r="S51" s="39"/>
      <c r="T51" s="37"/>
      <c r="U51" s="42" t="str">
        <f>IFERROR(__xludf.DUMMYFUNCTION("IF(A51="""","""",IF(AND(REGEXMATCH(T51,""Dimension Report""),REGEXMATCH(T51,""Chemical Analysis Report""),REGEXMATCH(T51,""Drawing Report""),REGEXMATCH(T51,""Costing Report"")),""Done"",""Not Done""))"),"")</f>
        <v/>
      </c>
      <c r="V51" s="32" t="str">
        <f t="shared" si="10"/>
        <v/>
      </c>
      <c r="W51" s="34"/>
    </row>
    <row r="52" ht="22.5" customHeight="1">
      <c r="A52" s="34"/>
      <c r="B52" s="34"/>
      <c r="C52" s="34"/>
      <c r="D52" s="34"/>
      <c r="E52" s="34"/>
      <c r="F52" s="34"/>
      <c r="G52" s="28" t="str">
        <f t="shared" si="1"/>
        <v/>
      </c>
      <c r="H52" s="27" t="str">
        <f t="shared" si="2"/>
        <v/>
      </c>
      <c r="I52" s="28" t="str">
        <f t="shared" si="3"/>
        <v/>
      </c>
      <c r="J52" s="28" t="str">
        <f t="shared" si="4"/>
        <v/>
      </c>
      <c r="K52" s="41"/>
      <c r="L52" s="28" t="str">
        <f t="shared" si="5"/>
        <v/>
      </c>
      <c r="M52" s="28" t="str">
        <f t="shared" si="6"/>
        <v/>
      </c>
      <c r="N52" s="39"/>
      <c r="O52" s="28" t="str">
        <f t="shared" si="7"/>
        <v/>
      </c>
      <c r="P52" s="28" t="str">
        <f t="shared" si="8"/>
        <v/>
      </c>
      <c r="Q52" s="39"/>
      <c r="R52" s="28" t="str">
        <f t="shared" si="9"/>
        <v/>
      </c>
      <c r="S52" s="39"/>
      <c r="T52" s="37"/>
      <c r="U52" s="42" t="str">
        <f>IFERROR(__xludf.DUMMYFUNCTION("IF(A52="""","""",IF(AND(REGEXMATCH(T52,""Dimension Report""),REGEXMATCH(T52,""Chemical Analysis Report""),REGEXMATCH(T52,""Drawing Report""),REGEXMATCH(T52,""Costing Report"")),""Done"",""Not Done""))"),"")</f>
        <v/>
      </c>
      <c r="V52" s="32" t="str">
        <f t="shared" si="10"/>
        <v/>
      </c>
      <c r="W52" s="34"/>
    </row>
    <row r="53" ht="22.5" customHeight="1">
      <c r="A53" s="34"/>
      <c r="B53" s="34"/>
      <c r="C53" s="34"/>
      <c r="D53" s="34"/>
      <c r="E53" s="34"/>
      <c r="F53" s="34"/>
      <c r="G53" s="28" t="str">
        <f t="shared" si="1"/>
        <v/>
      </c>
      <c r="H53" s="27" t="str">
        <f t="shared" si="2"/>
        <v/>
      </c>
      <c r="I53" s="28" t="str">
        <f t="shared" si="3"/>
        <v/>
      </c>
      <c r="J53" s="28" t="str">
        <f t="shared" si="4"/>
        <v/>
      </c>
      <c r="K53" s="41"/>
      <c r="L53" s="28" t="str">
        <f t="shared" si="5"/>
        <v/>
      </c>
      <c r="M53" s="28" t="str">
        <f t="shared" si="6"/>
        <v/>
      </c>
      <c r="N53" s="39"/>
      <c r="O53" s="28" t="str">
        <f t="shared" si="7"/>
        <v/>
      </c>
      <c r="P53" s="28" t="str">
        <f t="shared" si="8"/>
        <v/>
      </c>
      <c r="Q53" s="39"/>
      <c r="R53" s="28" t="str">
        <f t="shared" si="9"/>
        <v/>
      </c>
      <c r="S53" s="39"/>
      <c r="T53" s="37"/>
      <c r="U53" s="42" t="str">
        <f>IFERROR(__xludf.DUMMYFUNCTION("IF(A53="""","""",IF(AND(REGEXMATCH(T53,""Dimension Report""),REGEXMATCH(T53,""Chemical Analysis Report""),REGEXMATCH(T53,""Drawing Report""),REGEXMATCH(T53,""Costing Report"")),""Done"",""Not Done""))"),"")</f>
        <v/>
      </c>
      <c r="V53" s="32" t="str">
        <f t="shared" si="10"/>
        <v/>
      </c>
      <c r="W53" s="34"/>
    </row>
    <row r="54" ht="22.5" customHeight="1">
      <c r="A54" s="34"/>
      <c r="B54" s="34"/>
      <c r="C54" s="34"/>
      <c r="D54" s="34"/>
      <c r="E54" s="34"/>
      <c r="F54" s="34"/>
      <c r="G54" s="28" t="str">
        <f t="shared" si="1"/>
        <v/>
      </c>
      <c r="H54" s="27" t="str">
        <f t="shared" si="2"/>
        <v/>
      </c>
      <c r="I54" s="28" t="str">
        <f t="shared" si="3"/>
        <v/>
      </c>
      <c r="J54" s="28" t="str">
        <f t="shared" si="4"/>
        <v/>
      </c>
      <c r="K54" s="41"/>
      <c r="L54" s="28" t="str">
        <f t="shared" si="5"/>
        <v/>
      </c>
      <c r="M54" s="28" t="str">
        <f t="shared" si="6"/>
        <v/>
      </c>
      <c r="N54" s="39"/>
      <c r="O54" s="28" t="str">
        <f t="shared" si="7"/>
        <v/>
      </c>
      <c r="P54" s="28" t="str">
        <f t="shared" si="8"/>
        <v/>
      </c>
      <c r="Q54" s="39"/>
      <c r="R54" s="28" t="str">
        <f t="shared" si="9"/>
        <v/>
      </c>
      <c r="S54" s="39"/>
      <c r="T54" s="37"/>
      <c r="U54" s="42" t="str">
        <f>IFERROR(__xludf.DUMMYFUNCTION("IF(A54="""","""",IF(AND(REGEXMATCH(T54,""Dimension Report""),REGEXMATCH(T54,""Chemical Analysis Report""),REGEXMATCH(T54,""Drawing Report""),REGEXMATCH(T54,""Costing Report"")),""Done"",""Not Done""))"),"")</f>
        <v/>
      </c>
      <c r="V54" s="32" t="str">
        <f t="shared" si="10"/>
        <v/>
      </c>
      <c r="W54" s="34"/>
    </row>
    <row r="55" ht="22.5" customHeight="1">
      <c r="A55" s="34"/>
      <c r="B55" s="34"/>
      <c r="C55" s="34"/>
      <c r="D55" s="34"/>
      <c r="E55" s="34"/>
      <c r="F55" s="34"/>
      <c r="G55" s="28" t="str">
        <f t="shared" si="1"/>
        <v/>
      </c>
      <c r="H55" s="27" t="str">
        <f t="shared" si="2"/>
        <v/>
      </c>
      <c r="I55" s="28" t="str">
        <f t="shared" si="3"/>
        <v/>
      </c>
      <c r="J55" s="28" t="str">
        <f t="shared" si="4"/>
        <v/>
      </c>
      <c r="K55" s="41"/>
      <c r="L55" s="28" t="str">
        <f t="shared" si="5"/>
        <v/>
      </c>
      <c r="M55" s="28" t="str">
        <f t="shared" si="6"/>
        <v/>
      </c>
      <c r="N55" s="39"/>
      <c r="O55" s="28" t="str">
        <f t="shared" si="7"/>
        <v/>
      </c>
      <c r="P55" s="28" t="str">
        <f t="shared" si="8"/>
        <v/>
      </c>
      <c r="Q55" s="39"/>
      <c r="R55" s="28" t="str">
        <f t="shared" si="9"/>
        <v/>
      </c>
      <c r="S55" s="39"/>
      <c r="T55" s="37"/>
      <c r="U55" s="42" t="str">
        <f>IFERROR(__xludf.DUMMYFUNCTION("IF(A55="""","""",IF(AND(REGEXMATCH(T55,""Dimension Report""),REGEXMATCH(T55,""Chemical Analysis Report""),REGEXMATCH(T55,""Drawing Report""),REGEXMATCH(T55,""Costing Report"")),""Done"",""Not Done""))"),"")</f>
        <v/>
      </c>
      <c r="V55" s="32" t="str">
        <f t="shared" si="10"/>
        <v/>
      </c>
      <c r="W55" s="34"/>
    </row>
    <row r="56" ht="22.5" customHeight="1">
      <c r="A56" s="34"/>
      <c r="B56" s="34"/>
      <c r="C56" s="34"/>
      <c r="D56" s="34"/>
      <c r="E56" s="34"/>
      <c r="F56" s="34"/>
      <c r="G56" s="28" t="str">
        <f t="shared" si="1"/>
        <v/>
      </c>
      <c r="H56" s="27" t="str">
        <f t="shared" si="2"/>
        <v/>
      </c>
      <c r="I56" s="28" t="str">
        <f t="shared" si="3"/>
        <v/>
      </c>
      <c r="J56" s="28" t="str">
        <f t="shared" si="4"/>
        <v/>
      </c>
      <c r="K56" s="41"/>
      <c r="L56" s="28" t="str">
        <f t="shared" si="5"/>
        <v/>
      </c>
      <c r="M56" s="28" t="str">
        <f t="shared" si="6"/>
        <v/>
      </c>
      <c r="N56" s="39"/>
      <c r="O56" s="28" t="str">
        <f t="shared" si="7"/>
        <v/>
      </c>
      <c r="P56" s="28" t="str">
        <f t="shared" si="8"/>
        <v/>
      </c>
      <c r="Q56" s="39"/>
      <c r="R56" s="28" t="str">
        <f t="shared" si="9"/>
        <v/>
      </c>
      <c r="S56" s="39"/>
      <c r="T56" s="37"/>
      <c r="U56" s="42" t="str">
        <f>IFERROR(__xludf.DUMMYFUNCTION("IF(A56="""","""",IF(AND(REGEXMATCH(T56,""Dimension Report""),REGEXMATCH(T56,""Chemical Analysis Report""),REGEXMATCH(T56,""Drawing Report""),REGEXMATCH(T56,""Costing Report"")),""Done"",""Not Done""))"),"")</f>
        <v/>
      </c>
      <c r="V56" s="32" t="str">
        <f t="shared" si="10"/>
        <v/>
      </c>
      <c r="W56" s="34"/>
    </row>
    <row r="57" ht="22.5" customHeight="1">
      <c r="A57" s="34"/>
      <c r="B57" s="34"/>
      <c r="C57" s="34"/>
      <c r="D57" s="34"/>
      <c r="E57" s="34"/>
      <c r="F57" s="34"/>
      <c r="G57" s="28" t="str">
        <f t="shared" si="1"/>
        <v/>
      </c>
      <c r="H57" s="27" t="str">
        <f t="shared" si="2"/>
        <v/>
      </c>
      <c r="I57" s="28" t="str">
        <f t="shared" si="3"/>
        <v/>
      </c>
      <c r="J57" s="28" t="str">
        <f t="shared" si="4"/>
        <v/>
      </c>
      <c r="K57" s="41"/>
      <c r="L57" s="28" t="str">
        <f t="shared" si="5"/>
        <v/>
      </c>
      <c r="M57" s="28" t="str">
        <f t="shared" si="6"/>
        <v/>
      </c>
      <c r="N57" s="39"/>
      <c r="O57" s="28" t="str">
        <f t="shared" si="7"/>
        <v/>
      </c>
      <c r="P57" s="28" t="str">
        <f t="shared" si="8"/>
        <v/>
      </c>
      <c r="Q57" s="39"/>
      <c r="R57" s="28" t="str">
        <f t="shared" si="9"/>
        <v/>
      </c>
      <c r="S57" s="39"/>
      <c r="T57" s="37"/>
      <c r="U57" s="42" t="str">
        <f>IFERROR(__xludf.DUMMYFUNCTION("IF(A57="""","""",IF(AND(REGEXMATCH(T57,""Dimension Report""),REGEXMATCH(T57,""Chemical Analysis Report""),REGEXMATCH(T57,""Drawing Report""),REGEXMATCH(T57,""Costing Report"")),""Done"",""Not Done""))"),"")</f>
        <v/>
      </c>
      <c r="V57" s="32" t="str">
        <f t="shared" si="10"/>
        <v/>
      </c>
      <c r="W57" s="34"/>
    </row>
    <row r="58" ht="22.5" customHeight="1">
      <c r="A58" s="34"/>
      <c r="B58" s="34"/>
      <c r="C58" s="34"/>
      <c r="D58" s="34"/>
      <c r="E58" s="34"/>
      <c r="F58" s="34"/>
      <c r="G58" s="28" t="str">
        <f t="shared" si="1"/>
        <v/>
      </c>
      <c r="H58" s="27" t="str">
        <f t="shared" si="2"/>
        <v/>
      </c>
      <c r="I58" s="28" t="str">
        <f t="shared" si="3"/>
        <v/>
      </c>
      <c r="J58" s="28" t="str">
        <f t="shared" si="4"/>
        <v/>
      </c>
      <c r="K58" s="41"/>
      <c r="L58" s="28" t="str">
        <f t="shared" si="5"/>
        <v/>
      </c>
      <c r="M58" s="28" t="str">
        <f t="shared" si="6"/>
        <v/>
      </c>
      <c r="N58" s="39"/>
      <c r="O58" s="28" t="str">
        <f t="shared" si="7"/>
        <v/>
      </c>
      <c r="P58" s="28" t="str">
        <f t="shared" si="8"/>
        <v/>
      </c>
      <c r="Q58" s="39"/>
      <c r="R58" s="28" t="str">
        <f t="shared" si="9"/>
        <v/>
      </c>
      <c r="S58" s="39"/>
      <c r="T58" s="37"/>
      <c r="U58" s="42" t="str">
        <f>IFERROR(__xludf.DUMMYFUNCTION("IF(A58="""","""",IF(AND(REGEXMATCH(T58,""Dimension Report""),REGEXMATCH(T58,""Chemical Analysis Report""),REGEXMATCH(T58,""Drawing Report""),REGEXMATCH(T58,""Costing Report"")),""Done"",""Not Done""))"),"")</f>
        <v/>
      </c>
      <c r="V58" s="32" t="str">
        <f t="shared" si="10"/>
        <v/>
      </c>
      <c r="W58" s="34"/>
    </row>
    <row r="59" ht="22.5" customHeight="1">
      <c r="A59" s="34"/>
      <c r="B59" s="34"/>
      <c r="C59" s="34"/>
      <c r="D59" s="34"/>
      <c r="E59" s="34"/>
      <c r="F59" s="34"/>
      <c r="G59" s="28" t="str">
        <f t="shared" si="1"/>
        <v/>
      </c>
      <c r="H59" s="27" t="str">
        <f t="shared" si="2"/>
        <v/>
      </c>
      <c r="I59" s="28" t="str">
        <f t="shared" si="3"/>
        <v/>
      </c>
      <c r="J59" s="28" t="str">
        <f t="shared" si="4"/>
        <v/>
      </c>
      <c r="K59" s="41"/>
      <c r="L59" s="28" t="str">
        <f t="shared" si="5"/>
        <v/>
      </c>
      <c r="M59" s="28" t="str">
        <f t="shared" si="6"/>
        <v/>
      </c>
      <c r="N59" s="39"/>
      <c r="O59" s="28" t="str">
        <f t="shared" si="7"/>
        <v/>
      </c>
      <c r="P59" s="28" t="str">
        <f t="shared" si="8"/>
        <v/>
      </c>
      <c r="Q59" s="39"/>
      <c r="R59" s="28" t="str">
        <f t="shared" si="9"/>
        <v/>
      </c>
      <c r="S59" s="39"/>
      <c r="T59" s="37"/>
      <c r="U59" s="42" t="str">
        <f>IFERROR(__xludf.DUMMYFUNCTION("IF(A59="""","""",IF(AND(REGEXMATCH(T59,""Dimension Report""),REGEXMATCH(T59,""Chemical Analysis Report""),REGEXMATCH(T59,""Drawing Report""),REGEXMATCH(T59,""Costing Report"")),""Done"",""Not Done""))"),"")</f>
        <v/>
      </c>
      <c r="V59" s="32" t="str">
        <f t="shared" si="10"/>
        <v/>
      </c>
      <c r="W59" s="34"/>
    </row>
    <row r="60" ht="22.5" customHeight="1">
      <c r="A60" s="34"/>
      <c r="B60" s="34"/>
      <c r="C60" s="34"/>
      <c r="D60" s="34"/>
      <c r="E60" s="34"/>
      <c r="F60" s="34"/>
      <c r="G60" s="28" t="str">
        <f t="shared" si="1"/>
        <v/>
      </c>
      <c r="H60" s="27" t="str">
        <f t="shared" si="2"/>
        <v/>
      </c>
      <c r="I60" s="28" t="str">
        <f t="shared" si="3"/>
        <v/>
      </c>
      <c r="J60" s="28" t="str">
        <f t="shared" si="4"/>
        <v/>
      </c>
      <c r="K60" s="41"/>
      <c r="L60" s="28" t="str">
        <f t="shared" si="5"/>
        <v/>
      </c>
      <c r="M60" s="28" t="str">
        <f t="shared" si="6"/>
        <v/>
      </c>
      <c r="N60" s="39"/>
      <c r="O60" s="28" t="str">
        <f t="shared" si="7"/>
        <v/>
      </c>
      <c r="P60" s="28" t="str">
        <f t="shared" si="8"/>
        <v/>
      </c>
      <c r="Q60" s="39"/>
      <c r="R60" s="28" t="str">
        <f t="shared" si="9"/>
        <v/>
      </c>
      <c r="S60" s="39"/>
      <c r="T60" s="37"/>
      <c r="U60" s="42" t="str">
        <f>IFERROR(__xludf.DUMMYFUNCTION("IF(A60="""","""",IF(AND(REGEXMATCH(T60,""Dimension Report""),REGEXMATCH(T60,""Chemical Analysis Report""),REGEXMATCH(T60,""Drawing Report""),REGEXMATCH(T60,""Costing Report"")),""Done"",""Not Done""))"),"")</f>
        <v/>
      </c>
      <c r="V60" s="32" t="str">
        <f t="shared" si="10"/>
        <v/>
      </c>
      <c r="W60" s="34"/>
    </row>
    <row r="61" ht="22.5" customHeight="1">
      <c r="A61" s="34"/>
      <c r="B61" s="34"/>
      <c r="C61" s="34"/>
      <c r="D61" s="34"/>
      <c r="E61" s="34"/>
      <c r="F61" s="34"/>
      <c r="G61" s="28" t="str">
        <f t="shared" si="1"/>
        <v/>
      </c>
      <c r="H61" s="27" t="str">
        <f t="shared" si="2"/>
        <v/>
      </c>
      <c r="I61" s="28" t="str">
        <f t="shared" si="3"/>
        <v/>
      </c>
      <c r="J61" s="28" t="str">
        <f t="shared" si="4"/>
        <v/>
      </c>
      <c r="K61" s="41"/>
      <c r="L61" s="28" t="str">
        <f t="shared" si="5"/>
        <v/>
      </c>
      <c r="M61" s="28" t="str">
        <f t="shared" si="6"/>
        <v/>
      </c>
      <c r="N61" s="39"/>
      <c r="O61" s="28" t="str">
        <f t="shared" si="7"/>
        <v/>
      </c>
      <c r="P61" s="28" t="str">
        <f t="shared" si="8"/>
        <v/>
      </c>
      <c r="Q61" s="39"/>
      <c r="R61" s="28" t="str">
        <f t="shared" si="9"/>
        <v/>
      </c>
      <c r="S61" s="39"/>
      <c r="T61" s="37"/>
      <c r="U61" s="42" t="str">
        <f>IFERROR(__xludf.DUMMYFUNCTION("IF(A61="""","""",IF(AND(REGEXMATCH(T61,""Dimension Report""),REGEXMATCH(T61,""Chemical Analysis Report""),REGEXMATCH(T61,""Drawing Report""),REGEXMATCH(T61,""Costing Report"")),""Done"",""Not Done""))"),"")</f>
        <v/>
      </c>
      <c r="V61" s="32" t="str">
        <f t="shared" si="10"/>
        <v/>
      </c>
      <c r="W61" s="34"/>
    </row>
    <row r="62" ht="22.5" customHeight="1">
      <c r="A62" s="34"/>
      <c r="B62" s="34"/>
      <c r="C62" s="34"/>
      <c r="D62" s="34"/>
      <c r="E62" s="34"/>
      <c r="F62" s="34"/>
      <c r="G62" s="28" t="str">
        <f t="shared" si="1"/>
        <v/>
      </c>
      <c r="H62" s="27" t="str">
        <f t="shared" si="2"/>
        <v/>
      </c>
      <c r="I62" s="28" t="str">
        <f t="shared" si="3"/>
        <v/>
      </c>
      <c r="J62" s="28" t="str">
        <f t="shared" si="4"/>
        <v/>
      </c>
      <c r="K62" s="41"/>
      <c r="L62" s="28" t="str">
        <f t="shared" si="5"/>
        <v/>
      </c>
      <c r="M62" s="28" t="str">
        <f t="shared" si="6"/>
        <v/>
      </c>
      <c r="N62" s="39"/>
      <c r="O62" s="28" t="str">
        <f t="shared" si="7"/>
        <v/>
      </c>
      <c r="P62" s="28" t="str">
        <f t="shared" si="8"/>
        <v/>
      </c>
      <c r="Q62" s="39"/>
      <c r="R62" s="28" t="str">
        <f t="shared" si="9"/>
        <v/>
      </c>
      <c r="S62" s="39"/>
      <c r="T62" s="37"/>
      <c r="U62" s="42" t="str">
        <f>IFERROR(__xludf.DUMMYFUNCTION("IF(A62="""","""",IF(AND(REGEXMATCH(T62,""Dimension Report""),REGEXMATCH(T62,""Chemical Analysis Report""),REGEXMATCH(T62,""Drawing Report""),REGEXMATCH(T62,""Costing Report"")),""Done"",""Not Done""))"),"")</f>
        <v/>
      </c>
      <c r="V62" s="32" t="str">
        <f t="shared" si="10"/>
        <v/>
      </c>
      <c r="W62" s="34"/>
    </row>
    <row r="63" ht="22.5" customHeight="1">
      <c r="A63" s="34"/>
      <c r="B63" s="34"/>
      <c r="C63" s="34"/>
      <c r="D63" s="34"/>
      <c r="E63" s="34"/>
      <c r="F63" s="34"/>
      <c r="G63" s="28" t="str">
        <f t="shared" si="1"/>
        <v/>
      </c>
      <c r="H63" s="27" t="str">
        <f t="shared" si="2"/>
        <v/>
      </c>
      <c r="I63" s="28" t="str">
        <f t="shared" si="3"/>
        <v/>
      </c>
      <c r="J63" s="28" t="str">
        <f t="shared" si="4"/>
        <v/>
      </c>
      <c r="K63" s="41"/>
      <c r="L63" s="28" t="str">
        <f t="shared" si="5"/>
        <v/>
      </c>
      <c r="M63" s="28" t="str">
        <f t="shared" si="6"/>
        <v/>
      </c>
      <c r="N63" s="39"/>
      <c r="O63" s="28" t="str">
        <f t="shared" si="7"/>
        <v/>
      </c>
      <c r="P63" s="28" t="str">
        <f t="shared" si="8"/>
        <v/>
      </c>
      <c r="Q63" s="39"/>
      <c r="R63" s="28" t="str">
        <f t="shared" si="9"/>
        <v/>
      </c>
      <c r="S63" s="39"/>
      <c r="T63" s="37"/>
      <c r="U63" s="42" t="str">
        <f>IFERROR(__xludf.DUMMYFUNCTION("IF(A63="""","""",IF(AND(REGEXMATCH(T63,""Dimension Report""),REGEXMATCH(T63,""Chemical Analysis Report""),REGEXMATCH(T63,""Drawing Report""),REGEXMATCH(T63,""Costing Report"")),""Done"",""Not Done""))"),"")</f>
        <v/>
      </c>
      <c r="V63" s="32" t="str">
        <f t="shared" si="10"/>
        <v/>
      </c>
      <c r="W63" s="34"/>
    </row>
    <row r="64" ht="22.5" customHeight="1">
      <c r="A64" s="34"/>
      <c r="B64" s="34"/>
      <c r="C64" s="34"/>
      <c r="D64" s="34"/>
      <c r="E64" s="34"/>
      <c r="F64" s="34"/>
      <c r="G64" s="28" t="str">
        <f t="shared" si="1"/>
        <v/>
      </c>
      <c r="H64" s="27" t="str">
        <f t="shared" si="2"/>
        <v/>
      </c>
      <c r="I64" s="28" t="str">
        <f t="shared" si="3"/>
        <v/>
      </c>
      <c r="J64" s="28" t="str">
        <f t="shared" si="4"/>
        <v/>
      </c>
      <c r="K64" s="41"/>
      <c r="L64" s="28" t="str">
        <f t="shared" si="5"/>
        <v/>
      </c>
      <c r="M64" s="28" t="str">
        <f t="shared" si="6"/>
        <v/>
      </c>
      <c r="N64" s="39"/>
      <c r="O64" s="28" t="str">
        <f t="shared" si="7"/>
        <v/>
      </c>
      <c r="P64" s="28" t="str">
        <f t="shared" si="8"/>
        <v/>
      </c>
      <c r="Q64" s="39"/>
      <c r="R64" s="28" t="str">
        <f t="shared" si="9"/>
        <v/>
      </c>
      <c r="S64" s="39"/>
      <c r="T64" s="37"/>
      <c r="U64" s="42" t="str">
        <f>IFERROR(__xludf.DUMMYFUNCTION("IF(A64="""","""",IF(AND(REGEXMATCH(T64,""Dimension Report""),REGEXMATCH(T64,""Chemical Analysis Report""),REGEXMATCH(T64,""Drawing Report""),REGEXMATCH(T64,""Costing Report"")),""Done"",""Not Done""))"),"")</f>
        <v/>
      </c>
      <c r="V64" s="32" t="str">
        <f t="shared" si="10"/>
        <v/>
      </c>
      <c r="W64" s="34"/>
    </row>
    <row r="65" ht="22.5" customHeight="1">
      <c r="A65" s="34"/>
      <c r="B65" s="34"/>
      <c r="C65" s="34"/>
      <c r="D65" s="34"/>
      <c r="E65" s="34"/>
      <c r="F65" s="34"/>
      <c r="G65" s="28" t="str">
        <f t="shared" si="1"/>
        <v/>
      </c>
      <c r="H65" s="27" t="str">
        <f t="shared" si="2"/>
        <v/>
      </c>
      <c r="I65" s="28" t="str">
        <f t="shared" si="3"/>
        <v/>
      </c>
      <c r="J65" s="28" t="str">
        <f t="shared" si="4"/>
        <v/>
      </c>
      <c r="K65" s="41"/>
      <c r="L65" s="28" t="str">
        <f t="shared" si="5"/>
        <v/>
      </c>
      <c r="M65" s="28" t="str">
        <f t="shared" si="6"/>
        <v/>
      </c>
      <c r="N65" s="39"/>
      <c r="O65" s="28" t="str">
        <f t="shared" si="7"/>
        <v/>
      </c>
      <c r="P65" s="28" t="str">
        <f t="shared" si="8"/>
        <v/>
      </c>
      <c r="Q65" s="39"/>
      <c r="R65" s="28" t="str">
        <f t="shared" si="9"/>
        <v/>
      </c>
      <c r="S65" s="39"/>
      <c r="T65" s="37"/>
      <c r="U65" s="42" t="str">
        <f>IFERROR(__xludf.DUMMYFUNCTION("IF(A65="""","""",IF(AND(REGEXMATCH(T65,""Dimension Report""),REGEXMATCH(T65,""Chemical Analysis Report""),REGEXMATCH(T65,""Drawing Report""),REGEXMATCH(T65,""Costing Report"")),""Done"",""Not Done""))"),"")</f>
        <v/>
      </c>
      <c r="V65" s="32" t="str">
        <f t="shared" si="10"/>
        <v/>
      </c>
      <c r="W65" s="34"/>
    </row>
    <row r="66" ht="22.5" customHeight="1">
      <c r="A66" s="34"/>
      <c r="B66" s="34"/>
      <c r="C66" s="34"/>
      <c r="D66" s="34"/>
      <c r="E66" s="34"/>
      <c r="F66" s="34"/>
      <c r="G66" s="28" t="str">
        <f t="shared" si="1"/>
        <v/>
      </c>
      <c r="H66" s="27" t="str">
        <f t="shared" si="2"/>
        <v/>
      </c>
      <c r="I66" s="28" t="str">
        <f t="shared" si="3"/>
        <v/>
      </c>
      <c r="J66" s="28" t="str">
        <f t="shared" si="4"/>
        <v/>
      </c>
      <c r="K66" s="41"/>
      <c r="L66" s="28" t="str">
        <f t="shared" si="5"/>
        <v/>
      </c>
      <c r="M66" s="28" t="str">
        <f t="shared" si="6"/>
        <v/>
      </c>
      <c r="N66" s="39"/>
      <c r="O66" s="28" t="str">
        <f t="shared" si="7"/>
        <v/>
      </c>
      <c r="P66" s="28" t="str">
        <f t="shared" si="8"/>
        <v/>
      </c>
      <c r="Q66" s="39"/>
      <c r="R66" s="28" t="str">
        <f t="shared" si="9"/>
        <v/>
      </c>
      <c r="S66" s="39"/>
      <c r="T66" s="37"/>
      <c r="U66" s="42" t="str">
        <f>IFERROR(__xludf.DUMMYFUNCTION("IF(A66="""","""",IF(AND(REGEXMATCH(T66,""Dimension Report""),REGEXMATCH(T66,""Chemical Analysis Report""),REGEXMATCH(T66,""Drawing Report""),REGEXMATCH(T66,""Costing Report"")),""Done"",""Not Done""))"),"")</f>
        <v/>
      </c>
      <c r="V66" s="32" t="str">
        <f t="shared" si="10"/>
        <v/>
      </c>
      <c r="W66" s="34"/>
    </row>
    <row r="67" ht="22.5" customHeight="1">
      <c r="A67" s="34"/>
      <c r="B67" s="34"/>
      <c r="C67" s="34"/>
      <c r="D67" s="34"/>
      <c r="E67" s="34"/>
      <c r="F67" s="34"/>
      <c r="G67" s="28" t="str">
        <f t="shared" si="1"/>
        <v/>
      </c>
      <c r="H67" s="27" t="str">
        <f t="shared" si="2"/>
        <v/>
      </c>
      <c r="I67" s="28" t="str">
        <f t="shared" si="3"/>
        <v/>
      </c>
      <c r="J67" s="28" t="str">
        <f t="shared" si="4"/>
        <v/>
      </c>
      <c r="K67" s="41"/>
      <c r="L67" s="28" t="str">
        <f t="shared" si="5"/>
        <v/>
      </c>
      <c r="M67" s="28" t="str">
        <f t="shared" si="6"/>
        <v/>
      </c>
      <c r="N67" s="39"/>
      <c r="O67" s="28" t="str">
        <f t="shared" si="7"/>
        <v/>
      </c>
      <c r="P67" s="28" t="str">
        <f t="shared" si="8"/>
        <v/>
      </c>
      <c r="Q67" s="39"/>
      <c r="R67" s="28" t="str">
        <f t="shared" si="9"/>
        <v/>
      </c>
      <c r="S67" s="39"/>
      <c r="T67" s="37"/>
      <c r="U67" s="42" t="str">
        <f>IFERROR(__xludf.DUMMYFUNCTION("IF(A67="""","""",IF(AND(REGEXMATCH(T67,""Dimension Report""),REGEXMATCH(T67,""Chemical Analysis Report""),REGEXMATCH(T67,""Drawing Report""),REGEXMATCH(T67,""Costing Report"")),""Done"",""Not Done""))"),"")</f>
        <v/>
      </c>
      <c r="V67" s="32" t="str">
        <f t="shared" si="10"/>
        <v/>
      </c>
      <c r="W67" s="34"/>
    </row>
    <row r="68" ht="22.5" customHeight="1">
      <c r="A68" s="34"/>
      <c r="B68" s="34"/>
      <c r="C68" s="34"/>
      <c r="D68" s="34"/>
      <c r="E68" s="34"/>
      <c r="F68" s="34"/>
      <c r="G68" s="28" t="str">
        <f t="shared" si="1"/>
        <v/>
      </c>
      <c r="H68" s="27" t="str">
        <f t="shared" si="2"/>
        <v/>
      </c>
      <c r="I68" s="28" t="str">
        <f t="shared" si="3"/>
        <v/>
      </c>
      <c r="J68" s="28" t="str">
        <f t="shared" si="4"/>
        <v/>
      </c>
      <c r="K68" s="41"/>
      <c r="L68" s="28" t="str">
        <f t="shared" si="5"/>
        <v/>
      </c>
      <c r="M68" s="28" t="str">
        <f t="shared" si="6"/>
        <v/>
      </c>
      <c r="N68" s="39"/>
      <c r="O68" s="28" t="str">
        <f t="shared" si="7"/>
        <v/>
      </c>
      <c r="P68" s="28" t="str">
        <f t="shared" si="8"/>
        <v/>
      </c>
      <c r="Q68" s="39"/>
      <c r="R68" s="28" t="str">
        <f t="shared" si="9"/>
        <v/>
      </c>
      <c r="S68" s="39"/>
      <c r="T68" s="37"/>
      <c r="U68" s="42" t="str">
        <f>IFERROR(__xludf.DUMMYFUNCTION("IF(A68="""","""",IF(AND(REGEXMATCH(T68,""Dimension Report""),REGEXMATCH(T68,""Chemical Analysis Report""),REGEXMATCH(T68,""Drawing Report""),REGEXMATCH(T68,""Costing Report"")),""Done"",""Not Done""))"),"")</f>
        <v/>
      </c>
      <c r="V68" s="32" t="str">
        <f t="shared" si="10"/>
        <v/>
      </c>
      <c r="W68" s="34"/>
    </row>
    <row r="69" ht="22.5" customHeight="1">
      <c r="A69" s="34"/>
      <c r="B69" s="34"/>
      <c r="C69" s="34"/>
      <c r="D69" s="34"/>
      <c r="E69" s="34"/>
      <c r="F69" s="34"/>
      <c r="G69" s="28" t="str">
        <f t="shared" si="1"/>
        <v/>
      </c>
      <c r="H69" s="27" t="str">
        <f t="shared" si="2"/>
        <v/>
      </c>
      <c r="I69" s="28" t="str">
        <f t="shared" si="3"/>
        <v/>
      </c>
      <c r="J69" s="28" t="str">
        <f t="shared" si="4"/>
        <v/>
      </c>
      <c r="K69" s="41"/>
      <c r="L69" s="28" t="str">
        <f t="shared" si="5"/>
        <v/>
      </c>
      <c r="M69" s="28" t="str">
        <f t="shared" si="6"/>
        <v/>
      </c>
      <c r="N69" s="39"/>
      <c r="O69" s="28" t="str">
        <f t="shared" si="7"/>
        <v/>
      </c>
      <c r="P69" s="28" t="str">
        <f t="shared" si="8"/>
        <v/>
      </c>
      <c r="Q69" s="39"/>
      <c r="R69" s="28" t="str">
        <f t="shared" si="9"/>
        <v/>
      </c>
      <c r="S69" s="39"/>
      <c r="T69" s="37"/>
      <c r="U69" s="42" t="str">
        <f>IFERROR(__xludf.DUMMYFUNCTION("IF(A69="""","""",IF(AND(REGEXMATCH(T69,""Dimension Report""),REGEXMATCH(T69,""Chemical Analysis Report""),REGEXMATCH(T69,""Drawing Report""),REGEXMATCH(T69,""Costing Report"")),""Done"",""Not Done""))"),"")</f>
        <v/>
      </c>
      <c r="V69" s="32" t="str">
        <f t="shared" si="10"/>
        <v/>
      </c>
      <c r="W69" s="34"/>
    </row>
    <row r="70" ht="22.5" customHeight="1">
      <c r="A70" s="34"/>
      <c r="B70" s="34"/>
      <c r="C70" s="34"/>
      <c r="D70" s="34"/>
      <c r="E70" s="34"/>
      <c r="F70" s="34"/>
      <c r="G70" s="28" t="str">
        <f t="shared" si="1"/>
        <v/>
      </c>
      <c r="H70" s="27" t="str">
        <f t="shared" si="2"/>
        <v/>
      </c>
      <c r="I70" s="28" t="str">
        <f t="shared" si="3"/>
        <v/>
      </c>
      <c r="J70" s="28" t="str">
        <f t="shared" si="4"/>
        <v/>
      </c>
      <c r="K70" s="41"/>
      <c r="L70" s="28" t="str">
        <f t="shared" si="5"/>
        <v/>
      </c>
      <c r="M70" s="28" t="str">
        <f t="shared" si="6"/>
        <v/>
      </c>
      <c r="N70" s="39"/>
      <c r="O70" s="28" t="str">
        <f t="shared" si="7"/>
        <v/>
      </c>
      <c r="P70" s="28" t="str">
        <f t="shared" si="8"/>
        <v/>
      </c>
      <c r="Q70" s="39"/>
      <c r="R70" s="28" t="str">
        <f t="shared" si="9"/>
        <v/>
      </c>
      <c r="S70" s="39"/>
      <c r="T70" s="37"/>
      <c r="U70" s="42" t="str">
        <f>IFERROR(__xludf.DUMMYFUNCTION("IF(A70="""","""",IF(AND(REGEXMATCH(T70,""Dimension Report""),REGEXMATCH(T70,""Chemical Analysis Report""),REGEXMATCH(T70,""Drawing Report""),REGEXMATCH(T70,""Costing Report"")),""Done"",""Not Done""))"),"")</f>
        <v/>
      </c>
      <c r="V70" s="32" t="str">
        <f t="shared" si="10"/>
        <v/>
      </c>
      <c r="W70" s="34"/>
    </row>
    <row r="71" ht="22.5" customHeight="1">
      <c r="A71" s="34"/>
      <c r="B71" s="34"/>
      <c r="C71" s="34"/>
      <c r="D71" s="34"/>
      <c r="E71" s="34"/>
      <c r="F71" s="34"/>
      <c r="G71" s="28" t="str">
        <f t="shared" si="1"/>
        <v/>
      </c>
      <c r="H71" s="27" t="str">
        <f t="shared" si="2"/>
        <v/>
      </c>
      <c r="I71" s="28" t="str">
        <f t="shared" si="3"/>
        <v/>
      </c>
      <c r="J71" s="28" t="str">
        <f t="shared" si="4"/>
        <v/>
      </c>
      <c r="K71" s="41"/>
      <c r="L71" s="28" t="str">
        <f t="shared" si="5"/>
        <v/>
      </c>
      <c r="M71" s="28" t="str">
        <f t="shared" si="6"/>
        <v/>
      </c>
      <c r="N71" s="39"/>
      <c r="O71" s="28" t="str">
        <f t="shared" si="7"/>
        <v/>
      </c>
      <c r="P71" s="28" t="str">
        <f t="shared" si="8"/>
        <v/>
      </c>
      <c r="Q71" s="39"/>
      <c r="R71" s="28" t="str">
        <f t="shared" si="9"/>
        <v/>
      </c>
      <c r="S71" s="39"/>
      <c r="T71" s="37"/>
      <c r="U71" s="42" t="str">
        <f>IFERROR(__xludf.DUMMYFUNCTION("IF(A71="""","""",IF(AND(REGEXMATCH(T71,""Dimension Report""),REGEXMATCH(T71,""Chemical Analysis Report""),REGEXMATCH(T71,""Drawing Report""),REGEXMATCH(T71,""Costing Report"")),""Done"",""Not Done""))"),"")</f>
        <v/>
      </c>
      <c r="V71" s="32" t="str">
        <f t="shared" si="10"/>
        <v/>
      </c>
      <c r="W71" s="34"/>
    </row>
    <row r="72" ht="22.5" customHeight="1">
      <c r="A72" s="34"/>
      <c r="B72" s="34"/>
      <c r="C72" s="34"/>
      <c r="D72" s="34"/>
      <c r="E72" s="34"/>
      <c r="F72" s="34"/>
      <c r="G72" s="28" t="str">
        <f t="shared" si="1"/>
        <v/>
      </c>
      <c r="H72" s="27" t="str">
        <f t="shared" si="2"/>
        <v/>
      </c>
      <c r="I72" s="28" t="str">
        <f t="shared" si="3"/>
        <v/>
      </c>
      <c r="J72" s="28" t="str">
        <f t="shared" si="4"/>
        <v/>
      </c>
      <c r="K72" s="41"/>
      <c r="L72" s="28" t="str">
        <f t="shared" si="5"/>
        <v/>
      </c>
      <c r="M72" s="28" t="str">
        <f t="shared" si="6"/>
        <v/>
      </c>
      <c r="N72" s="39"/>
      <c r="O72" s="28" t="str">
        <f t="shared" si="7"/>
        <v/>
      </c>
      <c r="P72" s="28" t="str">
        <f t="shared" si="8"/>
        <v/>
      </c>
      <c r="Q72" s="39"/>
      <c r="R72" s="28" t="str">
        <f t="shared" si="9"/>
        <v/>
      </c>
      <c r="S72" s="39"/>
      <c r="T72" s="37"/>
      <c r="U72" s="42" t="str">
        <f>IFERROR(__xludf.DUMMYFUNCTION("IF(A72="""","""",IF(AND(REGEXMATCH(T72,""Dimension Report""),REGEXMATCH(T72,""Chemical Analysis Report""),REGEXMATCH(T72,""Drawing Report""),REGEXMATCH(T72,""Costing Report"")),""Done"",""Not Done""))"),"")</f>
        <v/>
      </c>
      <c r="V72" s="32" t="str">
        <f t="shared" si="10"/>
        <v/>
      </c>
      <c r="W72" s="34"/>
    </row>
    <row r="73" ht="22.5" customHeight="1">
      <c r="A73" s="34"/>
      <c r="B73" s="34"/>
      <c r="C73" s="34"/>
      <c r="D73" s="34"/>
      <c r="E73" s="34"/>
      <c r="F73" s="34"/>
      <c r="G73" s="28" t="str">
        <f t="shared" si="1"/>
        <v/>
      </c>
      <c r="H73" s="27" t="str">
        <f t="shared" si="2"/>
        <v/>
      </c>
      <c r="I73" s="28" t="str">
        <f t="shared" si="3"/>
        <v/>
      </c>
      <c r="J73" s="28" t="str">
        <f t="shared" si="4"/>
        <v/>
      </c>
      <c r="K73" s="41"/>
      <c r="L73" s="28" t="str">
        <f t="shared" si="5"/>
        <v/>
      </c>
      <c r="M73" s="28" t="str">
        <f t="shared" si="6"/>
        <v/>
      </c>
      <c r="N73" s="39"/>
      <c r="O73" s="28" t="str">
        <f t="shared" si="7"/>
        <v/>
      </c>
      <c r="P73" s="28" t="str">
        <f t="shared" si="8"/>
        <v/>
      </c>
      <c r="Q73" s="39"/>
      <c r="R73" s="28" t="str">
        <f t="shared" si="9"/>
        <v/>
      </c>
      <c r="S73" s="39"/>
      <c r="T73" s="37"/>
      <c r="U73" s="42" t="str">
        <f>IFERROR(__xludf.DUMMYFUNCTION("IF(A73="""","""",IF(AND(REGEXMATCH(T73,""Dimension Report""),REGEXMATCH(T73,""Chemical Analysis Report""),REGEXMATCH(T73,""Drawing Report""),REGEXMATCH(T73,""Costing Report"")),""Done"",""Not Done""))"),"")</f>
        <v/>
      </c>
      <c r="V73" s="32" t="str">
        <f t="shared" si="10"/>
        <v/>
      </c>
      <c r="W73" s="34"/>
    </row>
    <row r="74" ht="22.5" customHeight="1">
      <c r="A74" s="34"/>
      <c r="B74" s="34"/>
      <c r="C74" s="34"/>
      <c r="D74" s="34"/>
      <c r="E74" s="34"/>
      <c r="F74" s="34"/>
      <c r="G74" s="28" t="str">
        <f t="shared" si="1"/>
        <v/>
      </c>
      <c r="H74" s="27" t="str">
        <f t="shared" si="2"/>
        <v/>
      </c>
      <c r="I74" s="28" t="str">
        <f t="shared" si="3"/>
        <v/>
      </c>
      <c r="J74" s="28" t="str">
        <f t="shared" si="4"/>
        <v/>
      </c>
      <c r="K74" s="41"/>
      <c r="L74" s="28" t="str">
        <f t="shared" si="5"/>
        <v/>
      </c>
      <c r="M74" s="28" t="str">
        <f t="shared" si="6"/>
        <v/>
      </c>
      <c r="N74" s="39"/>
      <c r="O74" s="28" t="str">
        <f t="shared" si="7"/>
        <v/>
      </c>
      <c r="P74" s="28" t="str">
        <f t="shared" si="8"/>
        <v/>
      </c>
      <c r="Q74" s="39"/>
      <c r="R74" s="28" t="str">
        <f t="shared" si="9"/>
        <v/>
      </c>
      <c r="S74" s="39"/>
      <c r="T74" s="37"/>
      <c r="U74" s="42" t="str">
        <f>IFERROR(__xludf.DUMMYFUNCTION("IF(A74="""","""",IF(AND(REGEXMATCH(T74,""Dimension Report""),REGEXMATCH(T74,""Chemical Analysis Report""),REGEXMATCH(T74,""Drawing Report""),REGEXMATCH(T74,""Costing Report"")),""Done"",""Not Done""))"),"")</f>
        <v/>
      </c>
      <c r="V74" s="32" t="str">
        <f t="shared" si="10"/>
        <v/>
      </c>
      <c r="W74" s="34"/>
    </row>
    <row r="75" ht="22.5" customHeight="1">
      <c r="A75" s="34"/>
      <c r="B75" s="34"/>
      <c r="C75" s="34"/>
      <c r="D75" s="34"/>
      <c r="E75" s="34"/>
      <c r="F75" s="34"/>
      <c r="G75" s="28" t="str">
        <f t="shared" si="1"/>
        <v/>
      </c>
      <c r="H75" s="27" t="str">
        <f t="shared" si="2"/>
        <v/>
      </c>
      <c r="I75" s="28" t="str">
        <f t="shared" si="3"/>
        <v/>
      </c>
      <c r="J75" s="28" t="str">
        <f t="shared" si="4"/>
        <v/>
      </c>
      <c r="K75" s="41"/>
      <c r="L75" s="28" t="str">
        <f t="shared" si="5"/>
        <v/>
      </c>
      <c r="M75" s="28" t="str">
        <f t="shared" si="6"/>
        <v/>
      </c>
      <c r="N75" s="39"/>
      <c r="O75" s="28" t="str">
        <f t="shared" si="7"/>
        <v/>
      </c>
      <c r="P75" s="28" t="str">
        <f t="shared" si="8"/>
        <v/>
      </c>
      <c r="Q75" s="39"/>
      <c r="R75" s="28" t="str">
        <f t="shared" si="9"/>
        <v/>
      </c>
      <c r="S75" s="39"/>
      <c r="T75" s="37"/>
      <c r="U75" s="42" t="str">
        <f>IFERROR(__xludf.DUMMYFUNCTION("IF(A75="""","""",IF(AND(REGEXMATCH(T75,""Dimension Report""),REGEXMATCH(T75,""Chemical Analysis Report""),REGEXMATCH(T75,""Drawing Report""),REGEXMATCH(T75,""Costing Report"")),""Done"",""Not Done""))"),"")</f>
        <v/>
      </c>
      <c r="V75" s="32" t="str">
        <f t="shared" si="10"/>
        <v/>
      </c>
      <c r="W75" s="34"/>
    </row>
    <row r="76" ht="22.5" customHeight="1">
      <c r="A76" s="34"/>
      <c r="B76" s="34"/>
      <c r="C76" s="34"/>
      <c r="D76" s="34"/>
      <c r="E76" s="34"/>
      <c r="F76" s="34"/>
      <c r="G76" s="28" t="str">
        <f t="shared" si="1"/>
        <v/>
      </c>
      <c r="H76" s="27" t="str">
        <f t="shared" si="2"/>
        <v/>
      </c>
      <c r="I76" s="28" t="str">
        <f t="shared" si="3"/>
        <v/>
      </c>
      <c r="J76" s="28" t="str">
        <f t="shared" si="4"/>
        <v/>
      </c>
      <c r="K76" s="41"/>
      <c r="L76" s="28" t="str">
        <f t="shared" si="5"/>
        <v/>
      </c>
      <c r="M76" s="28" t="str">
        <f t="shared" si="6"/>
        <v/>
      </c>
      <c r="N76" s="39"/>
      <c r="O76" s="28" t="str">
        <f t="shared" si="7"/>
        <v/>
      </c>
      <c r="P76" s="28" t="str">
        <f t="shared" si="8"/>
        <v/>
      </c>
      <c r="Q76" s="39"/>
      <c r="R76" s="28" t="str">
        <f t="shared" si="9"/>
        <v/>
      </c>
      <c r="S76" s="39"/>
      <c r="T76" s="37"/>
      <c r="U76" s="42" t="str">
        <f>IFERROR(__xludf.DUMMYFUNCTION("IF(A76="""","""",IF(AND(REGEXMATCH(T76,""Dimension Report""),REGEXMATCH(T76,""Chemical Analysis Report""),REGEXMATCH(T76,""Drawing Report""),REGEXMATCH(T76,""Costing Report"")),""Done"",""Not Done""))"),"")</f>
        <v/>
      </c>
      <c r="V76" s="32" t="str">
        <f t="shared" si="10"/>
        <v/>
      </c>
      <c r="W76" s="34"/>
    </row>
    <row r="77" ht="22.5" customHeight="1">
      <c r="A77" s="34"/>
      <c r="B77" s="34"/>
      <c r="C77" s="34"/>
      <c r="D77" s="34"/>
      <c r="E77" s="34"/>
      <c r="F77" s="34"/>
      <c r="G77" s="28" t="str">
        <f t="shared" si="1"/>
        <v/>
      </c>
      <c r="H77" s="27" t="str">
        <f t="shared" si="2"/>
        <v/>
      </c>
      <c r="I77" s="28" t="str">
        <f t="shared" si="3"/>
        <v/>
      </c>
      <c r="J77" s="28" t="str">
        <f t="shared" si="4"/>
        <v/>
      </c>
      <c r="K77" s="41"/>
      <c r="L77" s="28" t="str">
        <f t="shared" si="5"/>
        <v/>
      </c>
      <c r="M77" s="28" t="str">
        <f t="shared" si="6"/>
        <v/>
      </c>
      <c r="N77" s="39"/>
      <c r="O77" s="28" t="str">
        <f t="shared" si="7"/>
        <v/>
      </c>
      <c r="P77" s="28" t="str">
        <f t="shared" si="8"/>
        <v/>
      </c>
      <c r="Q77" s="39"/>
      <c r="R77" s="28" t="str">
        <f t="shared" si="9"/>
        <v/>
      </c>
      <c r="S77" s="39"/>
      <c r="T77" s="37"/>
      <c r="U77" s="42" t="str">
        <f>IFERROR(__xludf.DUMMYFUNCTION("IF(A77="""","""",IF(AND(REGEXMATCH(T77,""Dimension Report""),REGEXMATCH(T77,""Chemical Analysis Report""),REGEXMATCH(T77,""Drawing Report""),REGEXMATCH(T77,""Costing Report"")),""Done"",""Not Done""))"),"")</f>
        <v/>
      </c>
      <c r="V77" s="32" t="str">
        <f t="shared" si="10"/>
        <v/>
      </c>
      <c r="W77" s="34"/>
    </row>
    <row r="78" ht="22.5" customHeight="1">
      <c r="A78" s="34"/>
      <c r="B78" s="34"/>
      <c r="C78" s="34"/>
      <c r="D78" s="34"/>
      <c r="E78" s="34"/>
      <c r="F78" s="34"/>
      <c r="G78" s="28" t="str">
        <f t="shared" si="1"/>
        <v/>
      </c>
      <c r="H78" s="27" t="str">
        <f t="shared" si="2"/>
        <v/>
      </c>
      <c r="I78" s="28" t="str">
        <f t="shared" si="3"/>
        <v/>
      </c>
      <c r="J78" s="28" t="str">
        <f t="shared" si="4"/>
        <v/>
      </c>
      <c r="K78" s="41"/>
      <c r="L78" s="28" t="str">
        <f t="shared" si="5"/>
        <v/>
      </c>
      <c r="M78" s="28" t="str">
        <f t="shared" si="6"/>
        <v/>
      </c>
      <c r="N78" s="39"/>
      <c r="O78" s="28" t="str">
        <f t="shared" si="7"/>
        <v/>
      </c>
      <c r="P78" s="28" t="str">
        <f t="shared" si="8"/>
        <v/>
      </c>
      <c r="Q78" s="39"/>
      <c r="R78" s="28" t="str">
        <f t="shared" si="9"/>
        <v/>
      </c>
      <c r="S78" s="39"/>
      <c r="T78" s="37"/>
      <c r="U78" s="42" t="str">
        <f>IFERROR(__xludf.DUMMYFUNCTION("IF(A78="""","""",IF(AND(REGEXMATCH(T78,""Dimension Report""),REGEXMATCH(T78,""Chemical Analysis Report""),REGEXMATCH(T78,""Drawing Report""),REGEXMATCH(T78,""Costing Report"")),""Done"",""Not Done""))"),"")</f>
        <v/>
      </c>
      <c r="V78" s="32" t="str">
        <f t="shared" si="10"/>
        <v/>
      </c>
      <c r="W78" s="34"/>
    </row>
    <row r="79" ht="22.5" customHeight="1">
      <c r="A79" s="34"/>
      <c r="B79" s="34"/>
      <c r="C79" s="34"/>
      <c r="D79" s="34"/>
      <c r="E79" s="34"/>
      <c r="F79" s="34"/>
      <c r="G79" s="28" t="str">
        <f t="shared" si="1"/>
        <v/>
      </c>
      <c r="H79" s="27" t="str">
        <f t="shared" si="2"/>
        <v/>
      </c>
      <c r="I79" s="28" t="str">
        <f t="shared" si="3"/>
        <v/>
      </c>
      <c r="J79" s="28" t="str">
        <f t="shared" si="4"/>
        <v/>
      </c>
      <c r="K79" s="41"/>
      <c r="L79" s="28" t="str">
        <f t="shared" si="5"/>
        <v/>
      </c>
      <c r="M79" s="28" t="str">
        <f t="shared" si="6"/>
        <v/>
      </c>
      <c r="N79" s="39"/>
      <c r="O79" s="28" t="str">
        <f t="shared" si="7"/>
        <v/>
      </c>
      <c r="P79" s="28" t="str">
        <f t="shared" si="8"/>
        <v/>
      </c>
      <c r="Q79" s="39"/>
      <c r="R79" s="28" t="str">
        <f t="shared" si="9"/>
        <v/>
      </c>
      <c r="S79" s="39"/>
      <c r="T79" s="37"/>
      <c r="U79" s="42" t="str">
        <f>IFERROR(__xludf.DUMMYFUNCTION("IF(A79="""","""",IF(AND(REGEXMATCH(T79,""Dimension Report""),REGEXMATCH(T79,""Chemical Analysis Report""),REGEXMATCH(T79,""Drawing Report""),REGEXMATCH(T79,""Costing Report"")),""Done"",""Not Done""))"),"")</f>
        <v/>
      </c>
      <c r="V79" s="32" t="str">
        <f t="shared" si="10"/>
        <v/>
      </c>
      <c r="W79" s="34"/>
    </row>
    <row r="80" ht="22.5" customHeight="1">
      <c r="A80" s="34"/>
      <c r="B80" s="34"/>
      <c r="C80" s="34"/>
      <c r="D80" s="34"/>
      <c r="E80" s="34"/>
      <c r="F80" s="34"/>
      <c r="G80" s="28" t="str">
        <f t="shared" si="1"/>
        <v/>
      </c>
      <c r="H80" s="27" t="str">
        <f t="shared" si="2"/>
        <v/>
      </c>
      <c r="I80" s="28" t="str">
        <f t="shared" si="3"/>
        <v/>
      </c>
      <c r="J80" s="28" t="str">
        <f t="shared" si="4"/>
        <v/>
      </c>
      <c r="K80" s="41"/>
      <c r="L80" s="28" t="str">
        <f t="shared" si="5"/>
        <v/>
      </c>
      <c r="M80" s="28" t="str">
        <f t="shared" si="6"/>
        <v/>
      </c>
      <c r="N80" s="39"/>
      <c r="O80" s="28" t="str">
        <f t="shared" si="7"/>
        <v/>
      </c>
      <c r="P80" s="28" t="str">
        <f t="shared" si="8"/>
        <v/>
      </c>
      <c r="Q80" s="39"/>
      <c r="R80" s="28" t="str">
        <f t="shared" si="9"/>
        <v/>
      </c>
      <c r="S80" s="39"/>
      <c r="T80" s="37"/>
      <c r="U80" s="42" t="str">
        <f>IFERROR(__xludf.DUMMYFUNCTION("IF(A80="""","""",IF(AND(REGEXMATCH(T80,""Dimension Report""),REGEXMATCH(T80,""Chemical Analysis Report""),REGEXMATCH(T80,""Drawing Report""),REGEXMATCH(T80,""Costing Report"")),""Done"",""Not Done""))"),"")</f>
        <v/>
      </c>
      <c r="V80" s="32" t="str">
        <f t="shared" si="10"/>
        <v/>
      </c>
      <c r="W80" s="34"/>
    </row>
    <row r="81" ht="22.5" customHeight="1">
      <c r="A81" s="34"/>
      <c r="B81" s="34"/>
      <c r="C81" s="34"/>
      <c r="D81" s="34"/>
      <c r="E81" s="34"/>
      <c r="F81" s="34"/>
      <c r="G81" s="28" t="str">
        <f t="shared" si="1"/>
        <v/>
      </c>
      <c r="H81" s="27" t="str">
        <f t="shared" si="2"/>
        <v/>
      </c>
      <c r="I81" s="28" t="str">
        <f t="shared" si="3"/>
        <v/>
      </c>
      <c r="J81" s="28" t="str">
        <f t="shared" si="4"/>
        <v/>
      </c>
      <c r="K81" s="41"/>
      <c r="L81" s="28" t="str">
        <f t="shared" si="5"/>
        <v/>
      </c>
      <c r="M81" s="28" t="str">
        <f t="shared" si="6"/>
        <v/>
      </c>
      <c r="N81" s="39"/>
      <c r="O81" s="28" t="str">
        <f t="shared" si="7"/>
        <v/>
      </c>
      <c r="P81" s="28" t="str">
        <f t="shared" si="8"/>
        <v/>
      </c>
      <c r="Q81" s="39"/>
      <c r="R81" s="28" t="str">
        <f t="shared" si="9"/>
        <v/>
      </c>
      <c r="S81" s="39"/>
      <c r="T81" s="37"/>
      <c r="U81" s="42" t="str">
        <f>IFERROR(__xludf.DUMMYFUNCTION("IF(A81="""","""",IF(AND(REGEXMATCH(T81,""Dimension Report""),REGEXMATCH(T81,""Chemical Analysis Report""),REGEXMATCH(T81,""Drawing Report""),REGEXMATCH(T81,""Costing Report"")),""Done"",""Not Done""))"),"")</f>
        <v/>
      </c>
      <c r="V81" s="32" t="str">
        <f t="shared" si="10"/>
        <v/>
      </c>
      <c r="W81" s="34"/>
    </row>
    <row r="82" ht="22.5" customHeight="1">
      <c r="A82" s="34"/>
      <c r="B82" s="34"/>
      <c r="C82" s="34"/>
      <c r="D82" s="34"/>
      <c r="E82" s="34"/>
      <c r="F82" s="34"/>
      <c r="G82" s="28" t="str">
        <f t="shared" si="1"/>
        <v/>
      </c>
      <c r="H82" s="27" t="str">
        <f t="shared" si="2"/>
        <v/>
      </c>
      <c r="I82" s="28" t="str">
        <f t="shared" si="3"/>
        <v/>
      </c>
      <c r="J82" s="28" t="str">
        <f t="shared" si="4"/>
        <v/>
      </c>
      <c r="K82" s="41"/>
      <c r="L82" s="28" t="str">
        <f t="shared" si="5"/>
        <v/>
      </c>
      <c r="M82" s="28" t="str">
        <f t="shared" si="6"/>
        <v/>
      </c>
      <c r="N82" s="39"/>
      <c r="O82" s="28" t="str">
        <f t="shared" si="7"/>
        <v/>
      </c>
      <c r="P82" s="28" t="str">
        <f t="shared" si="8"/>
        <v/>
      </c>
      <c r="Q82" s="39"/>
      <c r="R82" s="28" t="str">
        <f t="shared" si="9"/>
        <v/>
      </c>
      <c r="S82" s="39"/>
      <c r="T82" s="37"/>
      <c r="U82" s="42" t="str">
        <f>IFERROR(__xludf.DUMMYFUNCTION("IF(A82="""","""",IF(AND(REGEXMATCH(T82,""Dimension Report""),REGEXMATCH(T82,""Chemical Analysis Report""),REGEXMATCH(T82,""Drawing Report""),REGEXMATCH(T82,""Costing Report"")),""Done"",""Not Done""))"),"")</f>
        <v/>
      </c>
      <c r="V82" s="32" t="str">
        <f t="shared" si="10"/>
        <v/>
      </c>
      <c r="W82" s="34"/>
    </row>
    <row r="83" ht="22.5" customHeight="1">
      <c r="A83" s="34"/>
      <c r="B83" s="34"/>
      <c r="C83" s="34"/>
      <c r="D83" s="34"/>
      <c r="E83" s="34"/>
      <c r="F83" s="34"/>
      <c r="G83" s="28" t="str">
        <f t="shared" si="1"/>
        <v/>
      </c>
      <c r="H83" s="27" t="str">
        <f t="shared" si="2"/>
        <v/>
      </c>
      <c r="I83" s="28" t="str">
        <f t="shared" si="3"/>
        <v/>
      </c>
      <c r="J83" s="28" t="str">
        <f t="shared" si="4"/>
        <v/>
      </c>
      <c r="K83" s="41"/>
      <c r="L83" s="28" t="str">
        <f t="shared" si="5"/>
        <v/>
      </c>
      <c r="M83" s="28" t="str">
        <f t="shared" si="6"/>
        <v/>
      </c>
      <c r="N83" s="39"/>
      <c r="O83" s="28" t="str">
        <f t="shared" si="7"/>
        <v/>
      </c>
      <c r="P83" s="28" t="str">
        <f t="shared" si="8"/>
        <v/>
      </c>
      <c r="Q83" s="39"/>
      <c r="R83" s="28" t="str">
        <f t="shared" si="9"/>
        <v/>
      </c>
      <c r="S83" s="39"/>
      <c r="T83" s="37"/>
      <c r="U83" s="42" t="str">
        <f>IFERROR(__xludf.DUMMYFUNCTION("IF(A83="""","""",IF(AND(REGEXMATCH(T83,""Dimension Report""),REGEXMATCH(T83,""Chemical Analysis Report""),REGEXMATCH(T83,""Drawing Report""),REGEXMATCH(T83,""Costing Report"")),""Done"",""Not Done""))"),"")</f>
        <v/>
      </c>
      <c r="V83" s="32" t="str">
        <f t="shared" si="10"/>
        <v/>
      </c>
      <c r="W83" s="34"/>
    </row>
    <row r="84" ht="22.5" customHeight="1">
      <c r="A84" s="34"/>
      <c r="B84" s="34"/>
      <c r="C84" s="34"/>
      <c r="D84" s="34"/>
      <c r="E84" s="34"/>
      <c r="F84" s="34"/>
      <c r="G84" s="28" t="str">
        <f t="shared" si="1"/>
        <v/>
      </c>
      <c r="H84" s="27" t="str">
        <f t="shared" si="2"/>
        <v/>
      </c>
      <c r="I84" s="28" t="str">
        <f t="shared" si="3"/>
        <v/>
      </c>
      <c r="J84" s="28" t="str">
        <f t="shared" si="4"/>
        <v/>
      </c>
      <c r="K84" s="41"/>
      <c r="L84" s="28" t="str">
        <f t="shared" si="5"/>
        <v/>
      </c>
      <c r="M84" s="28" t="str">
        <f t="shared" si="6"/>
        <v/>
      </c>
      <c r="N84" s="39"/>
      <c r="O84" s="28" t="str">
        <f t="shared" si="7"/>
        <v/>
      </c>
      <c r="P84" s="28" t="str">
        <f t="shared" si="8"/>
        <v/>
      </c>
      <c r="Q84" s="39"/>
      <c r="R84" s="28" t="str">
        <f t="shared" si="9"/>
        <v/>
      </c>
      <c r="S84" s="39"/>
      <c r="T84" s="37"/>
      <c r="U84" s="42" t="str">
        <f>IFERROR(__xludf.DUMMYFUNCTION("IF(A84="""","""",IF(AND(REGEXMATCH(T84,""Dimension Report""),REGEXMATCH(T84,""Chemical Analysis Report""),REGEXMATCH(T84,""Drawing Report""),REGEXMATCH(T84,""Costing Report"")),""Done"",""Not Done""))"),"")</f>
        <v/>
      </c>
      <c r="V84" s="32" t="str">
        <f t="shared" si="10"/>
        <v/>
      </c>
      <c r="W84" s="34"/>
    </row>
    <row r="85" ht="22.5" customHeight="1">
      <c r="A85" s="34"/>
      <c r="B85" s="34"/>
      <c r="C85" s="34"/>
      <c r="D85" s="34"/>
      <c r="E85" s="34"/>
      <c r="F85" s="34"/>
      <c r="G85" s="28" t="str">
        <f t="shared" si="1"/>
        <v/>
      </c>
      <c r="H85" s="27" t="str">
        <f t="shared" si="2"/>
        <v/>
      </c>
      <c r="I85" s="28" t="str">
        <f t="shared" si="3"/>
        <v/>
      </c>
      <c r="J85" s="28" t="str">
        <f t="shared" si="4"/>
        <v/>
      </c>
      <c r="K85" s="41"/>
      <c r="L85" s="28" t="str">
        <f t="shared" si="5"/>
        <v/>
      </c>
      <c r="M85" s="28" t="str">
        <f t="shared" si="6"/>
        <v/>
      </c>
      <c r="N85" s="39"/>
      <c r="O85" s="28" t="str">
        <f t="shared" si="7"/>
        <v/>
      </c>
      <c r="P85" s="28" t="str">
        <f t="shared" si="8"/>
        <v/>
      </c>
      <c r="Q85" s="39"/>
      <c r="R85" s="28" t="str">
        <f t="shared" si="9"/>
        <v/>
      </c>
      <c r="S85" s="39"/>
      <c r="T85" s="37"/>
      <c r="U85" s="42" t="str">
        <f>IFERROR(__xludf.DUMMYFUNCTION("IF(A85="""","""",IF(AND(REGEXMATCH(T85,""Dimension Report""),REGEXMATCH(T85,""Chemical Analysis Report""),REGEXMATCH(T85,""Drawing Report""),REGEXMATCH(T85,""Costing Report"")),""Done"",""Not Done""))"),"")</f>
        <v/>
      </c>
      <c r="V85" s="32" t="str">
        <f t="shared" si="10"/>
        <v/>
      </c>
      <c r="W85" s="34"/>
    </row>
    <row r="86" ht="22.5" customHeight="1">
      <c r="A86" s="34"/>
      <c r="B86" s="34"/>
      <c r="C86" s="34"/>
      <c r="D86" s="34"/>
      <c r="E86" s="34"/>
      <c r="F86" s="34"/>
      <c r="G86" s="28" t="str">
        <f t="shared" si="1"/>
        <v/>
      </c>
      <c r="H86" s="27" t="str">
        <f t="shared" si="2"/>
        <v/>
      </c>
      <c r="I86" s="28" t="str">
        <f t="shared" si="3"/>
        <v/>
      </c>
      <c r="J86" s="28" t="str">
        <f t="shared" si="4"/>
        <v/>
      </c>
      <c r="K86" s="41"/>
      <c r="L86" s="28" t="str">
        <f t="shared" si="5"/>
        <v/>
      </c>
      <c r="M86" s="28" t="str">
        <f t="shared" si="6"/>
        <v/>
      </c>
      <c r="N86" s="39"/>
      <c r="O86" s="28" t="str">
        <f t="shared" si="7"/>
        <v/>
      </c>
      <c r="P86" s="28" t="str">
        <f t="shared" si="8"/>
        <v/>
      </c>
      <c r="Q86" s="39"/>
      <c r="R86" s="28" t="str">
        <f t="shared" si="9"/>
        <v/>
      </c>
      <c r="S86" s="39"/>
      <c r="T86" s="37"/>
      <c r="U86" s="42" t="str">
        <f>IFERROR(__xludf.DUMMYFUNCTION("IF(A86="""","""",IF(AND(REGEXMATCH(T86,""Dimension Report""),REGEXMATCH(T86,""Chemical Analysis Report""),REGEXMATCH(T86,""Drawing Report""),REGEXMATCH(T86,""Costing Report"")),""Done"",""Not Done""))"),"")</f>
        <v/>
      </c>
      <c r="V86" s="32" t="str">
        <f t="shared" si="10"/>
        <v/>
      </c>
      <c r="W86" s="34"/>
    </row>
    <row r="87" ht="22.5" customHeight="1">
      <c r="A87" s="34"/>
      <c r="B87" s="34"/>
      <c r="C87" s="34"/>
      <c r="D87" s="34"/>
      <c r="E87" s="34"/>
      <c r="F87" s="34"/>
      <c r="G87" s="28" t="str">
        <f t="shared" si="1"/>
        <v/>
      </c>
      <c r="H87" s="27" t="str">
        <f t="shared" si="2"/>
        <v/>
      </c>
      <c r="I87" s="28" t="str">
        <f t="shared" si="3"/>
        <v/>
      </c>
      <c r="J87" s="28" t="str">
        <f t="shared" si="4"/>
        <v/>
      </c>
      <c r="K87" s="41"/>
      <c r="L87" s="28" t="str">
        <f t="shared" si="5"/>
        <v/>
      </c>
      <c r="M87" s="28" t="str">
        <f t="shared" si="6"/>
        <v/>
      </c>
      <c r="N87" s="39"/>
      <c r="O87" s="28" t="str">
        <f t="shared" si="7"/>
        <v/>
      </c>
      <c r="P87" s="28" t="str">
        <f t="shared" si="8"/>
        <v/>
      </c>
      <c r="Q87" s="39"/>
      <c r="R87" s="28" t="str">
        <f t="shared" si="9"/>
        <v/>
      </c>
      <c r="S87" s="39"/>
      <c r="T87" s="37"/>
      <c r="U87" s="42" t="str">
        <f>IFERROR(__xludf.DUMMYFUNCTION("IF(A87="""","""",IF(AND(REGEXMATCH(T87,""Dimension Report""),REGEXMATCH(T87,""Chemical Analysis Report""),REGEXMATCH(T87,""Drawing Report""),REGEXMATCH(T87,""Costing Report"")),""Done"",""Not Done""))"),"")</f>
        <v/>
      </c>
      <c r="V87" s="32" t="str">
        <f t="shared" si="10"/>
        <v/>
      </c>
      <c r="W87" s="34"/>
    </row>
    <row r="88" ht="22.5" customHeight="1">
      <c r="A88" s="34"/>
      <c r="B88" s="34"/>
      <c r="C88" s="34"/>
      <c r="D88" s="34"/>
      <c r="E88" s="34"/>
      <c r="F88" s="34"/>
      <c r="G88" s="28" t="str">
        <f t="shared" si="1"/>
        <v/>
      </c>
      <c r="H88" s="27" t="str">
        <f t="shared" si="2"/>
        <v/>
      </c>
      <c r="I88" s="28" t="str">
        <f t="shared" si="3"/>
        <v/>
      </c>
      <c r="J88" s="28" t="str">
        <f t="shared" si="4"/>
        <v/>
      </c>
      <c r="K88" s="41"/>
      <c r="L88" s="28" t="str">
        <f t="shared" si="5"/>
        <v/>
      </c>
      <c r="M88" s="28" t="str">
        <f t="shared" si="6"/>
        <v/>
      </c>
      <c r="N88" s="39"/>
      <c r="O88" s="28" t="str">
        <f t="shared" si="7"/>
        <v/>
      </c>
      <c r="P88" s="28" t="str">
        <f t="shared" si="8"/>
        <v/>
      </c>
      <c r="Q88" s="39"/>
      <c r="R88" s="28" t="str">
        <f t="shared" si="9"/>
        <v/>
      </c>
      <c r="S88" s="39"/>
      <c r="T88" s="37"/>
      <c r="U88" s="42" t="str">
        <f>IFERROR(__xludf.DUMMYFUNCTION("IF(A88="""","""",IF(AND(REGEXMATCH(T88,""Dimension Report""),REGEXMATCH(T88,""Chemical Analysis Report""),REGEXMATCH(T88,""Drawing Report""),REGEXMATCH(T88,""Costing Report"")),""Done"",""Not Done""))"),"")</f>
        <v/>
      </c>
      <c r="V88" s="32" t="str">
        <f t="shared" si="10"/>
        <v/>
      </c>
      <c r="W88" s="34"/>
    </row>
    <row r="89" ht="22.5" customHeight="1">
      <c r="A89" s="34"/>
      <c r="B89" s="34"/>
      <c r="C89" s="34"/>
      <c r="D89" s="34"/>
      <c r="E89" s="34"/>
      <c r="F89" s="34"/>
      <c r="G89" s="28" t="str">
        <f t="shared" si="1"/>
        <v/>
      </c>
      <c r="H89" s="27" t="str">
        <f t="shared" si="2"/>
        <v/>
      </c>
      <c r="I89" s="28" t="str">
        <f t="shared" si="3"/>
        <v/>
      </c>
      <c r="J89" s="28" t="str">
        <f t="shared" si="4"/>
        <v/>
      </c>
      <c r="K89" s="41"/>
      <c r="L89" s="28" t="str">
        <f t="shared" si="5"/>
        <v/>
      </c>
      <c r="M89" s="28" t="str">
        <f t="shared" si="6"/>
        <v/>
      </c>
      <c r="N89" s="39"/>
      <c r="O89" s="28" t="str">
        <f t="shared" si="7"/>
        <v/>
      </c>
      <c r="P89" s="28" t="str">
        <f t="shared" si="8"/>
        <v/>
      </c>
      <c r="Q89" s="39"/>
      <c r="R89" s="28" t="str">
        <f t="shared" si="9"/>
        <v/>
      </c>
      <c r="S89" s="39"/>
      <c r="T89" s="37"/>
      <c r="U89" s="42" t="str">
        <f>IFERROR(__xludf.DUMMYFUNCTION("IF(A89="""","""",IF(AND(REGEXMATCH(T89,""Dimension Report""),REGEXMATCH(T89,""Chemical Analysis Report""),REGEXMATCH(T89,""Drawing Report""),REGEXMATCH(T89,""Costing Report"")),""Done"",""Not Done""))"),"")</f>
        <v/>
      </c>
      <c r="V89" s="32" t="str">
        <f t="shared" si="10"/>
        <v/>
      </c>
      <c r="W89" s="34"/>
    </row>
    <row r="90" ht="22.5" customHeight="1">
      <c r="A90" s="34"/>
      <c r="B90" s="34"/>
      <c r="C90" s="34"/>
      <c r="D90" s="34"/>
      <c r="E90" s="34"/>
      <c r="F90" s="34"/>
      <c r="G90" s="28" t="str">
        <f t="shared" si="1"/>
        <v/>
      </c>
      <c r="H90" s="27" t="str">
        <f t="shared" si="2"/>
        <v/>
      </c>
      <c r="I90" s="28" t="str">
        <f t="shared" si="3"/>
        <v/>
      </c>
      <c r="J90" s="28" t="str">
        <f t="shared" si="4"/>
        <v/>
      </c>
      <c r="K90" s="41"/>
      <c r="L90" s="28" t="str">
        <f t="shared" si="5"/>
        <v/>
      </c>
      <c r="M90" s="28" t="str">
        <f t="shared" si="6"/>
        <v/>
      </c>
      <c r="N90" s="39"/>
      <c r="O90" s="28" t="str">
        <f t="shared" si="7"/>
        <v/>
      </c>
      <c r="P90" s="28" t="str">
        <f t="shared" si="8"/>
        <v/>
      </c>
      <c r="Q90" s="39"/>
      <c r="R90" s="28" t="str">
        <f t="shared" si="9"/>
        <v/>
      </c>
      <c r="S90" s="39"/>
      <c r="T90" s="37"/>
      <c r="U90" s="42" t="str">
        <f>IFERROR(__xludf.DUMMYFUNCTION("IF(A90="""","""",IF(AND(REGEXMATCH(T90,""Dimension Report""),REGEXMATCH(T90,""Chemical Analysis Report""),REGEXMATCH(T90,""Drawing Report""),REGEXMATCH(T90,""Costing Report"")),""Done"",""Not Done""))"),"")</f>
        <v/>
      </c>
      <c r="V90" s="32" t="str">
        <f t="shared" si="10"/>
        <v/>
      </c>
      <c r="W90" s="34"/>
    </row>
    <row r="91" ht="22.5" customHeight="1">
      <c r="A91" s="34"/>
      <c r="B91" s="34"/>
      <c r="C91" s="34"/>
      <c r="D91" s="34"/>
      <c r="E91" s="34"/>
      <c r="F91" s="34"/>
      <c r="G91" s="28" t="str">
        <f t="shared" si="1"/>
        <v/>
      </c>
      <c r="H91" s="27" t="str">
        <f t="shared" si="2"/>
        <v/>
      </c>
      <c r="I91" s="28" t="str">
        <f t="shared" si="3"/>
        <v/>
      </c>
      <c r="J91" s="28" t="str">
        <f t="shared" si="4"/>
        <v/>
      </c>
      <c r="K91" s="41"/>
      <c r="L91" s="28" t="str">
        <f t="shared" si="5"/>
        <v/>
      </c>
      <c r="M91" s="28" t="str">
        <f t="shared" si="6"/>
        <v/>
      </c>
      <c r="N91" s="39"/>
      <c r="O91" s="28" t="str">
        <f t="shared" si="7"/>
        <v/>
      </c>
      <c r="P91" s="28" t="str">
        <f t="shared" si="8"/>
        <v/>
      </c>
      <c r="Q91" s="39"/>
      <c r="R91" s="28" t="str">
        <f t="shared" si="9"/>
        <v/>
      </c>
      <c r="S91" s="39"/>
      <c r="T91" s="37"/>
      <c r="U91" s="42" t="str">
        <f>IFERROR(__xludf.DUMMYFUNCTION("IF(A91="""","""",IF(AND(REGEXMATCH(T91,""Dimension Report""),REGEXMATCH(T91,""Chemical Analysis Report""),REGEXMATCH(T91,""Drawing Report""),REGEXMATCH(T91,""Costing Report"")),""Done"",""Not Done""))"),"")</f>
        <v/>
      </c>
      <c r="V91" s="32" t="str">
        <f t="shared" si="10"/>
        <v/>
      </c>
      <c r="W91" s="34"/>
    </row>
    <row r="92" ht="22.5" customHeight="1">
      <c r="A92" s="34"/>
      <c r="B92" s="34"/>
      <c r="C92" s="34"/>
      <c r="D92" s="34"/>
      <c r="E92" s="34"/>
      <c r="F92" s="34"/>
      <c r="G92" s="28" t="str">
        <f t="shared" si="1"/>
        <v/>
      </c>
      <c r="H92" s="27" t="str">
        <f t="shared" si="2"/>
        <v/>
      </c>
      <c r="I92" s="28" t="str">
        <f t="shared" si="3"/>
        <v/>
      </c>
      <c r="J92" s="28" t="str">
        <f t="shared" si="4"/>
        <v/>
      </c>
      <c r="K92" s="41"/>
      <c r="L92" s="28" t="str">
        <f t="shared" si="5"/>
        <v/>
      </c>
      <c r="M92" s="28" t="str">
        <f t="shared" si="6"/>
        <v/>
      </c>
      <c r="N92" s="39"/>
      <c r="O92" s="28" t="str">
        <f t="shared" si="7"/>
        <v/>
      </c>
      <c r="P92" s="28" t="str">
        <f t="shared" si="8"/>
        <v/>
      </c>
      <c r="Q92" s="39"/>
      <c r="R92" s="28" t="str">
        <f t="shared" si="9"/>
        <v/>
      </c>
      <c r="S92" s="39"/>
      <c r="T92" s="37"/>
      <c r="U92" s="42" t="str">
        <f>IFERROR(__xludf.DUMMYFUNCTION("IF(A92="""","""",IF(AND(REGEXMATCH(T92,""Dimension Report""),REGEXMATCH(T92,""Chemical Analysis Report""),REGEXMATCH(T92,""Drawing Report""),REGEXMATCH(T92,""Costing Report"")),""Done"",""Not Done""))"),"")</f>
        <v/>
      </c>
      <c r="V92" s="32" t="str">
        <f t="shared" si="10"/>
        <v/>
      </c>
      <c r="W92" s="34"/>
    </row>
    <row r="93" ht="22.5" customHeight="1">
      <c r="A93" s="34"/>
      <c r="B93" s="34"/>
      <c r="C93" s="34"/>
      <c r="D93" s="34"/>
      <c r="E93" s="34"/>
      <c r="F93" s="34"/>
      <c r="G93" s="28" t="str">
        <f t="shared" si="1"/>
        <v/>
      </c>
      <c r="H93" s="27" t="str">
        <f t="shared" si="2"/>
        <v/>
      </c>
      <c r="I93" s="28" t="str">
        <f t="shared" si="3"/>
        <v/>
      </c>
      <c r="J93" s="28" t="str">
        <f t="shared" si="4"/>
        <v/>
      </c>
      <c r="K93" s="41"/>
      <c r="L93" s="28" t="str">
        <f t="shared" si="5"/>
        <v/>
      </c>
      <c r="M93" s="28" t="str">
        <f t="shared" si="6"/>
        <v/>
      </c>
      <c r="N93" s="39"/>
      <c r="O93" s="28" t="str">
        <f t="shared" si="7"/>
        <v/>
      </c>
      <c r="P93" s="28" t="str">
        <f t="shared" si="8"/>
        <v/>
      </c>
      <c r="Q93" s="39"/>
      <c r="R93" s="28" t="str">
        <f t="shared" si="9"/>
        <v/>
      </c>
      <c r="S93" s="39"/>
      <c r="T93" s="37"/>
      <c r="U93" s="42" t="str">
        <f>IFERROR(__xludf.DUMMYFUNCTION("IF(A93="""","""",IF(AND(REGEXMATCH(T93,""Dimension Report""),REGEXMATCH(T93,""Chemical Analysis Report""),REGEXMATCH(T93,""Drawing Report""),REGEXMATCH(T93,""Costing Report"")),""Done"",""Not Done""))"),"")</f>
        <v/>
      </c>
      <c r="V93" s="32" t="str">
        <f t="shared" si="10"/>
        <v/>
      </c>
      <c r="W93" s="34"/>
    </row>
    <row r="94" ht="22.5" customHeight="1">
      <c r="A94" s="34"/>
      <c r="B94" s="34"/>
      <c r="C94" s="34"/>
      <c r="D94" s="34"/>
      <c r="E94" s="34"/>
      <c r="F94" s="34"/>
      <c r="G94" s="28" t="str">
        <f t="shared" si="1"/>
        <v/>
      </c>
      <c r="H94" s="27" t="str">
        <f t="shared" si="2"/>
        <v/>
      </c>
      <c r="I94" s="28" t="str">
        <f t="shared" si="3"/>
        <v/>
      </c>
      <c r="J94" s="28" t="str">
        <f t="shared" si="4"/>
        <v/>
      </c>
      <c r="K94" s="41"/>
      <c r="L94" s="28" t="str">
        <f t="shared" si="5"/>
        <v/>
      </c>
      <c r="M94" s="28" t="str">
        <f t="shared" si="6"/>
        <v/>
      </c>
      <c r="N94" s="39"/>
      <c r="O94" s="28" t="str">
        <f t="shared" si="7"/>
        <v/>
      </c>
      <c r="P94" s="28" t="str">
        <f t="shared" si="8"/>
        <v/>
      </c>
      <c r="Q94" s="39"/>
      <c r="R94" s="28" t="str">
        <f t="shared" si="9"/>
        <v/>
      </c>
      <c r="S94" s="39"/>
      <c r="T94" s="37"/>
      <c r="U94" s="42" t="str">
        <f>IFERROR(__xludf.DUMMYFUNCTION("IF(A94="""","""",IF(AND(REGEXMATCH(T94,""Dimension Report""),REGEXMATCH(T94,""Chemical Analysis Report""),REGEXMATCH(T94,""Drawing Report""),REGEXMATCH(T94,""Costing Report"")),""Done"",""Not Done""))"),"")</f>
        <v/>
      </c>
      <c r="V94" s="32" t="str">
        <f t="shared" si="10"/>
        <v/>
      </c>
      <c r="W94" s="34"/>
    </row>
    <row r="95" ht="22.5" customHeight="1">
      <c r="A95" s="34"/>
      <c r="B95" s="34"/>
      <c r="C95" s="34"/>
      <c r="D95" s="34"/>
      <c r="E95" s="34"/>
      <c r="F95" s="34"/>
      <c r="G95" s="28" t="str">
        <f t="shared" si="1"/>
        <v/>
      </c>
      <c r="H95" s="27" t="str">
        <f t="shared" si="2"/>
        <v/>
      </c>
      <c r="I95" s="28" t="str">
        <f t="shared" si="3"/>
        <v/>
      </c>
      <c r="J95" s="28" t="str">
        <f t="shared" si="4"/>
        <v/>
      </c>
      <c r="K95" s="41"/>
      <c r="L95" s="28" t="str">
        <f t="shared" si="5"/>
        <v/>
      </c>
      <c r="M95" s="28" t="str">
        <f t="shared" si="6"/>
        <v/>
      </c>
      <c r="N95" s="39"/>
      <c r="O95" s="28" t="str">
        <f t="shared" si="7"/>
        <v/>
      </c>
      <c r="P95" s="28" t="str">
        <f t="shared" si="8"/>
        <v/>
      </c>
      <c r="Q95" s="39"/>
      <c r="R95" s="28" t="str">
        <f t="shared" si="9"/>
        <v/>
      </c>
      <c r="S95" s="39"/>
      <c r="T95" s="37"/>
      <c r="U95" s="42" t="str">
        <f>IFERROR(__xludf.DUMMYFUNCTION("IF(A95="""","""",IF(AND(REGEXMATCH(T95,""Dimension Report""),REGEXMATCH(T95,""Chemical Analysis Report""),REGEXMATCH(T95,""Drawing Report""),REGEXMATCH(T95,""Costing Report"")),""Done"",""Not Done""))"),"")</f>
        <v/>
      </c>
      <c r="V95" s="32" t="str">
        <f t="shared" si="10"/>
        <v/>
      </c>
      <c r="W95" s="34"/>
    </row>
    <row r="96" ht="22.5" customHeight="1">
      <c r="A96" s="34"/>
      <c r="B96" s="34"/>
      <c r="C96" s="34"/>
      <c r="D96" s="34"/>
      <c r="E96" s="34"/>
      <c r="F96" s="34"/>
      <c r="G96" s="28" t="str">
        <f t="shared" si="1"/>
        <v/>
      </c>
      <c r="H96" s="27" t="str">
        <f t="shared" si="2"/>
        <v/>
      </c>
      <c r="I96" s="28" t="str">
        <f t="shared" si="3"/>
        <v/>
      </c>
      <c r="J96" s="28" t="str">
        <f t="shared" si="4"/>
        <v/>
      </c>
      <c r="K96" s="41"/>
      <c r="L96" s="28" t="str">
        <f t="shared" si="5"/>
        <v/>
      </c>
      <c r="M96" s="28" t="str">
        <f t="shared" si="6"/>
        <v/>
      </c>
      <c r="N96" s="39"/>
      <c r="O96" s="28" t="str">
        <f t="shared" si="7"/>
        <v/>
      </c>
      <c r="P96" s="28" t="str">
        <f t="shared" si="8"/>
        <v/>
      </c>
      <c r="Q96" s="39"/>
      <c r="R96" s="28" t="str">
        <f t="shared" si="9"/>
        <v/>
      </c>
      <c r="S96" s="39"/>
      <c r="T96" s="37"/>
      <c r="U96" s="42" t="str">
        <f>IFERROR(__xludf.DUMMYFUNCTION("IF(A96="""","""",IF(AND(REGEXMATCH(T96,""Dimension Report""),REGEXMATCH(T96,""Chemical Analysis Report""),REGEXMATCH(T96,""Drawing Report""),REGEXMATCH(T96,""Costing Report"")),""Done"",""Not Done""))"),"")</f>
        <v/>
      </c>
      <c r="V96" s="32" t="str">
        <f t="shared" si="10"/>
        <v/>
      </c>
      <c r="W96" s="34"/>
    </row>
    <row r="97" ht="22.5" customHeight="1">
      <c r="A97" s="34"/>
      <c r="B97" s="34"/>
      <c r="C97" s="34"/>
      <c r="D97" s="34"/>
      <c r="E97" s="34"/>
      <c r="F97" s="34"/>
      <c r="G97" s="28" t="str">
        <f t="shared" si="1"/>
        <v/>
      </c>
      <c r="H97" s="27" t="str">
        <f t="shared" si="2"/>
        <v/>
      </c>
      <c r="I97" s="28" t="str">
        <f t="shared" si="3"/>
        <v/>
      </c>
      <c r="J97" s="28" t="str">
        <f t="shared" si="4"/>
        <v/>
      </c>
      <c r="K97" s="41"/>
      <c r="L97" s="28" t="str">
        <f t="shared" si="5"/>
        <v/>
      </c>
      <c r="M97" s="28" t="str">
        <f t="shared" si="6"/>
        <v/>
      </c>
      <c r="N97" s="39"/>
      <c r="O97" s="28" t="str">
        <f t="shared" si="7"/>
        <v/>
      </c>
      <c r="P97" s="28" t="str">
        <f t="shared" si="8"/>
        <v/>
      </c>
      <c r="Q97" s="39"/>
      <c r="R97" s="28" t="str">
        <f t="shared" si="9"/>
        <v/>
      </c>
      <c r="S97" s="39"/>
      <c r="T97" s="37"/>
      <c r="U97" s="42" t="str">
        <f>IFERROR(__xludf.DUMMYFUNCTION("IF(A97="""","""",IF(AND(REGEXMATCH(T97,""Dimension Report""),REGEXMATCH(T97,""Chemical Analysis Report""),REGEXMATCH(T97,""Drawing Report""),REGEXMATCH(T97,""Costing Report"")),""Done"",""Not Done""))"),"")</f>
        <v/>
      </c>
      <c r="V97" s="32" t="str">
        <f t="shared" si="10"/>
        <v/>
      </c>
      <c r="W97" s="34"/>
    </row>
    <row r="98" ht="22.5" customHeight="1">
      <c r="A98" s="34"/>
      <c r="B98" s="34"/>
      <c r="C98" s="34"/>
      <c r="D98" s="34"/>
      <c r="E98" s="34"/>
      <c r="F98" s="34"/>
      <c r="G98" s="28" t="str">
        <f t="shared" si="1"/>
        <v/>
      </c>
      <c r="H98" s="27" t="str">
        <f t="shared" si="2"/>
        <v/>
      </c>
      <c r="I98" s="28" t="str">
        <f t="shared" si="3"/>
        <v/>
      </c>
      <c r="J98" s="28" t="str">
        <f t="shared" si="4"/>
        <v/>
      </c>
      <c r="K98" s="41"/>
      <c r="L98" s="28" t="str">
        <f t="shared" si="5"/>
        <v/>
      </c>
      <c r="M98" s="28" t="str">
        <f t="shared" si="6"/>
        <v/>
      </c>
      <c r="N98" s="39"/>
      <c r="O98" s="28" t="str">
        <f t="shared" si="7"/>
        <v/>
      </c>
      <c r="P98" s="28" t="str">
        <f t="shared" si="8"/>
        <v/>
      </c>
      <c r="Q98" s="39"/>
      <c r="R98" s="28" t="str">
        <f t="shared" si="9"/>
        <v/>
      </c>
      <c r="S98" s="39"/>
      <c r="T98" s="37"/>
      <c r="U98" s="42" t="str">
        <f>IFERROR(__xludf.DUMMYFUNCTION("IF(A98="""","""",IF(AND(REGEXMATCH(T98,""Dimension Report""),REGEXMATCH(T98,""Chemical Analysis Report""),REGEXMATCH(T98,""Drawing Report""),REGEXMATCH(T98,""Costing Report"")),""Done"",""Not Done""))"),"")</f>
        <v/>
      </c>
      <c r="V98" s="32" t="str">
        <f t="shared" si="10"/>
        <v/>
      </c>
      <c r="W98" s="34"/>
    </row>
    <row r="99" ht="22.5" customHeight="1">
      <c r="A99" s="34"/>
      <c r="B99" s="34"/>
      <c r="C99" s="34"/>
      <c r="D99" s="34"/>
      <c r="E99" s="34"/>
      <c r="F99" s="34"/>
      <c r="G99" s="28" t="str">
        <f t="shared" si="1"/>
        <v/>
      </c>
      <c r="H99" s="27" t="str">
        <f t="shared" si="2"/>
        <v/>
      </c>
      <c r="I99" s="28" t="str">
        <f t="shared" si="3"/>
        <v/>
      </c>
      <c r="J99" s="28" t="str">
        <f t="shared" si="4"/>
        <v/>
      </c>
      <c r="K99" s="41"/>
      <c r="L99" s="28" t="str">
        <f t="shared" si="5"/>
        <v/>
      </c>
      <c r="M99" s="28" t="str">
        <f t="shared" si="6"/>
        <v/>
      </c>
      <c r="N99" s="39"/>
      <c r="O99" s="28" t="str">
        <f t="shared" si="7"/>
        <v/>
      </c>
      <c r="P99" s="28" t="str">
        <f t="shared" si="8"/>
        <v/>
      </c>
      <c r="Q99" s="39"/>
      <c r="R99" s="28" t="str">
        <f t="shared" si="9"/>
        <v/>
      </c>
      <c r="S99" s="39"/>
      <c r="T99" s="37"/>
      <c r="U99" s="42" t="str">
        <f>IFERROR(__xludf.DUMMYFUNCTION("IF(A99="""","""",IF(AND(REGEXMATCH(T99,""Dimension Report""),REGEXMATCH(T99,""Chemical Analysis Report""),REGEXMATCH(T99,""Drawing Report""),REGEXMATCH(T99,""Costing Report"")),""Done"",""Not Done""))"),"")</f>
        <v/>
      </c>
      <c r="V99" s="32" t="str">
        <f t="shared" si="10"/>
        <v/>
      </c>
      <c r="W99" s="34"/>
    </row>
    <row r="100" ht="22.5" customHeight="1">
      <c r="A100" s="34"/>
      <c r="B100" s="34"/>
      <c r="C100" s="34"/>
      <c r="D100" s="34"/>
      <c r="E100" s="34"/>
      <c r="F100" s="34"/>
      <c r="G100" s="28" t="str">
        <f t="shared" si="1"/>
        <v/>
      </c>
      <c r="H100" s="27" t="str">
        <f t="shared" si="2"/>
        <v/>
      </c>
      <c r="I100" s="28" t="str">
        <f t="shared" si="3"/>
        <v/>
      </c>
      <c r="J100" s="28" t="str">
        <f t="shared" si="4"/>
        <v/>
      </c>
      <c r="K100" s="41"/>
      <c r="L100" s="28" t="str">
        <f t="shared" si="5"/>
        <v/>
      </c>
      <c r="M100" s="28" t="str">
        <f t="shared" si="6"/>
        <v/>
      </c>
      <c r="N100" s="39"/>
      <c r="O100" s="28" t="str">
        <f t="shared" si="7"/>
        <v/>
      </c>
      <c r="P100" s="28" t="str">
        <f t="shared" si="8"/>
        <v/>
      </c>
      <c r="Q100" s="39"/>
      <c r="R100" s="28" t="str">
        <f t="shared" si="9"/>
        <v/>
      </c>
      <c r="S100" s="39"/>
      <c r="T100" s="37"/>
      <c r="U100" s="42" t="str">
        <f>IFERROR(__xludf.DUMMYFUNCTION("IF(A100="""","""",IF(AND(REGEXMATCH(T100,""Dimension Report""),REGEXMATCH(T100,""Chemical Analysis Report""),REGEXMATCH(T100,""Drawing Report""),REGEXMATCH(T100,""Costing Report"")),""Done"",""Not Done""))"),"")</f>
        <v/>
      </c>
      <c r="V100" s="32" t="str">
        <f t="shared" si="10"/>
        <v/>
      </c>
      <c r="W100" s="34"/>
    </row>
    <row r="101" ht="22.5" customHeight="1">
      <c r="A101" s="34"/>
      <c r="B101" s="34"/>
      <c r="C101" s="34"/>
      <c r="D101" s="34"/>
      <c r="E101" s="34"/>
      <c r="F101" s="34"/>
      <c r="G101" s="28" t="str">
        <f t="shared" si="1"/>
        <v/>
      </c>
      <c r="H101" s="27" t="str">
        <f t="shared" si="2"/>
        <v/>
      </c>
      <c r="I101" s="28" t="str">
        <f t="shared" si="3"/>
        <v/>
      </c>
      <c r="J101" s="28" t="str">
        <f t="shared" si="4"/>
        <v/>
      </c>
      <c r="K101" s="41"/>
      <c r="L101" s="28" t="str">
        <f t="shared" si="5"/>
        <v/>
      </c>
      <c r="M101" s="28" t="str">
        <f t="shared" si="6"/>
        <v/>
      </c>
      <c r="N101" s="39"/>
      <c r="O101" s="28" t="str">
        <f t="shared" si="7"/>
        <v/>
      </c>
      <c r="P101" s="28" t="str">
        <f t="shared" si="8"/>
        <v/>
      </c>
      <c r="Q101" s="39"/>
      <c r="R101" s="28" t="str">
        <f t="shared" si="9"/>
        <v/>
      </c>
      <c r="S101" s="39"/>
      <c r="T101" s="37"/>
      <c r="U101" s="42" t="str">
        <f>IFERROR(__xludf.DUMMYFUNCTION("IF(A101="""","""",IF(AND(REGEXMATCH(T101,""Dimension Report""),REGEXMATCH(T101,""Chemical Analysis Report""),REGEXMATCH(T101,""Drawing Report""),REGEXMATCH(T101,""Costing Report"")),""Done"",""Not Done""))"),"")</f>
        <v/>
      </c>
      <c r="V101" s="32" t="str">
        <f t="shared" si="10"/>
        <v/>
      </c>
      <c r="W101" s="34"/>
    </row>
    <row r="102" ht="22.5" customHeight="1">
      <c r="A102" s="34"/>
      <c r="B102" s="34"/>
      <c r="C102" s="34"/>
      <c r="D102" s="34"/>
      <c r="E102" s="34"/>
      <c r="F102" s="34"/>
      <c r="G102" s="28" t="str">
        <f t="shared" si="1"/>
        <v/>
      </c>
      <c r="H102" s="27" t="str">
        <f t="shared" si="2"/>
        <v/>
      </c>
      <c r="I102" s="28" t="str">
        <f t="shared" si="3"/>
        <v/>
      </c>
      <c r="J102" s="28" t="str">
        <f t="shared" si="4"/>
        <v/>
      </c>
      <c r="K102" s="41"/>
      <c r="L102" s="28" t="str">
        <f t="shared" si="5"/>
        <v/>
      </c>
      <c r="M102" s="28" t="str">
        <f t="shared" si="6"/>
        <v/>
      </c>
      <c r="N102" s="39"/>
      <c r="O102" s="28" t="str">
        <f t="shared" si="7"/>
        <v/>
      </c>
      <c r="P102" s="28" t="str">
        <f t="shared" si="8"/>
        <v/>
      </c>
      <c r="Q102" s="39"/>
      <c r="R102" s="28" t="str">
        <f t="shared" si="9"/>
        <v/>
      </c>
      <c r="S102" s="39"/>
      <c r="T102" s="37"/>
      <c r="U102" s="42" t="str">
        <f>IFERROR(__xludf.DUMMYFUNCTION("IF(A102="""","""",IF(AND(REGEXMATCH(T102,""Dimension Report""),REGEXMATCH(T102,""Chemical Analysis Report""),REGEXMATCH(T102,""Drawing Report""),REGEXMATCH(T102,""Costing Report"")),""Done"",""Not Done""))"),"")</f>
        <v/>
      </c>
      <c r="V102" s="32" t="str">
        <f t="shared" si="10"/>
        <v/>
      </c>
      <c r="W102" s="34"/>
    </row>
  </sheetData>
  <dataValidations>
    <dataValidation type="list" allowBlank="1" showErrorMessage="1" sqref="J2:J102 M2:M102 P2:P102">
      <formula1>"Undecided,Inhouse,Lab Testing Company List (to make),To Find,Others"</formula1>
    </dataValidation>
    <dataValidation type="list" allowBlank="1" sqref="U2:U102">
      <formula1>"Not Done,Done"</formula1>
    </dataValidation>
    <dataValidation type="list" allowBlank="1" sqref="T2:T102">
      <formula1>"Dimension Report,Chemical Analysis Report ,Drawing Report,Costing Report"</formula1>
    </dataValidation>
    <dataValidation type="list" allowBlank="1" showErrorMessage="1" sqref="I2:I102 L2:L102 O2:O102 R2:R102">
      <formula1>"Not Started,In Process,Need Info,Need Help,On Hold,Done"</formula1>
    </dataValidation>
    <dataValidation type="custom" allowBlank="1" showDropDown="1" sqref="K2:K102 N2:N102 Q2:Q102 S2:S102 V2:V102">
      <formula1>OR(NOT(ISERROR(DATEVALUE(K2))), AND(ISNUMBER(K2), LEFT(CELL("format", K2))="D"))</formula1>
    </dataValidation>
    <dataValidation type="list" allowBlank="1" showErrorMessage="1" sqref="H2:H102">
      <formula1>"Received,To Process,In Process,Need Info,Need Help,On Hold,Processed"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63"/>
    <col customWidth="1" min="2" max="3" width="18.88"/>
    <col customWidth="1" min="4" max="4" width="19.75"/>
    <col customWidth="1" min="5" max="10" width="18.88"/>
    <col customWidth="1" min="11" max="11" width="19.5"/>
    <col customWidth="1" min="12" max="13" width="18.88"/>
    <col customWidth="1" min="14" max="14" width="19.5"/>
    <col customWidth="1" min="15" max="16" width="18.88"/>
    <col customWidth="1" min="17" max="17" width="19.5"/>
    <col customWidth="1" min="18" max="18" width="18.88"/>
    <col customWidth="1" min="19" max="19" width="19.5"/>
    <col customWidth="1" min="20" max="20" width="20.75"/>
    <col customWidth="1" min="21" max="21" width="22.0"/>
    <col customWidth="1" min="22" max="22" width="20.63"/>
    <col customWidth="1" min="23" max="23" width="18.88"/>
  </cols>
  <sheetData>
    <row r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</row>
    <row r="3">
      <c r="A3" s="43"/>
      <c r="B3" s="44" t="s">
        <v>61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</row>
    <row r="4">
      <c r="A4" s="45" t="s">
        <v>62</v>
      </c>
      <c r="B4" s="45" t="s">
        <v>63</v>
      </c>
      <c r="C4" s="45" t="s">
        <v>64</v>
      </c>
      <c r="D4" s="45" t="s">
        <v>65</v>
      </c>
      <c r="E4" s="45" t="s">
        <v>65</v>
      </c>
      <c r="F4" s="45" t="s">
        <v>65</v>
      </c>
      <c r="G4" s="45" t="s">
        <v>65</v>
      </c>
      <c r="H4" s="45" t="s">
        <v>64</v>
      </c>
      <c r="I4" s="45" t="s">
        <v>64</v>
      </c>
      <c r="J4" s="45" t="s">
        <v>64</v>
      </c>
      <c r="K4" s="45" t="s">
        <v>63</v>
      </c>
      <c r="L4" s="45" t="s">
        <v>64</v>
      </c>
      <c r="M4" s="45" t="s">
        <v>64</v>
      </c>
      <c r="N4" s="45" t="s">
        <v>63</v>
      </c>
      <c r="O4" s="45" t="s">
        <v>64</v>
      </c>
      <c r="P4" s="45" t="s">
        <v>64</v>
      </c>
      <c r="Q4" s="45" t="s">
        <v>63</v>
      </c>
      <c r="R4" s="45" t="s">
        <v>64</v>
      </c>
      <c r="S4" s="45" t="s">
        <v>63</v>
      </c>
      <c r="T4" s="45" t="s">
        <v>65</v>
      </c>
      <c r="U4" s="45" t="s">
        <v>65</v>
      </c>
      <c r="V4" s="45" t="s">
        <v>63</v>
      </c>
      <c r="W4" s="45" t="s">
        <v>65</v>
      </c>
    </row>
    <row r="5">
      <c r="A5" s="46" t="s">
        <v>66</v>
      </c>
      <c r="B5" s="47" t="s">
        <v>13</v>
      </c>
      <c r="C5" s="47" t="s">
        <v>15</v>
      </c>
      <c r="D5" s="47" t="s">
        <v>17</v>
      </c>
      <c r="E5" s="47" t="s">
        <v>19</v>
      </c>
      <c r="F5" s="47" t="s">
        <v>21</v>
      </c>
      <c r="G5" s="48" t="s">
        <v>23</v>
      </c>
      <c r="H5" s="48" t="s">
        <v>25</v>
      </c>
      <c r="I5" s="48" t="s">
        <v>27</v>
      </c>
      <c r="J5" s="48" t="s">
        <v>29</v>
      </c>
      <c r="K5" s="48" t="s">
        <v>31</v>
      </c>
      <c r="L5" s="48" t="s">
        <v>33</v>
      </c>
      <c r="M5" s="48" t="s">
        <v>35</v>
      </c>
      <c r="N5" s="48" t="s">
        <v>37</v>
      </c>
      <c r="O5" s="48" t="s">
        <v>39</v>
      </c>
      <c r="P5" s="48" t="s">
        <v>41</v>
      </c>
      <c r="Q5" s="48" t="s">
        <v>67</v>
      </c>
      <c r="R5" s="48" t="s">
        <v>45</v>
      </c>
      <c r="S5" s="48" t="s">
        <v>68</v>
      </c>
      <c r="T5" s="48" t="s">
        <v>49</v>
      </c>
      <c r="U5" s="48" t="s">
        <v>51</v>
      </c>
      <c r="V5" s="48" t="s">
        <v>53</v>
      </c>
      <c r="W5" s="48" t="s">
        <v>55</v>
      </c>
    </row>
    <row r="6">
      <c r="A6" s="49"/>
      <c r="B6" s="50"/>
      <c r="C6" s="50"/>
      <c r="D6" s="50"/>
      <c r="E6" s="51"/>
      <c r="F6" s="51"/>
      <c r="G6" s="51"/>
      <c r="H6" s="50" t="str">
        <f t="shared" ref="H6:H105" si="1">IF(A6="","",IF(U6="Done","Processed","Received"))</f>
        <v/>
      </c>
      <c r="I6" s="51" t="str">
        <f t="shared" ref="I6:I105" si="2">IF(H6="On Hold","On Hold",IF(A6="","",IF(K6&lt;&gt;"","Done","Not Started")))</f>
        <v/>
      </c>
      <c r="J6" s="51" t="str">
        <f t="shared" ref="J6:J105" si="3">IF(A6="","","Undecided")</f>
        <v/>
      </c>
      <c r="K6" s="52"/>
      <c r="L6" s="51" t="str">
        <f t="shared" ref="L6:L105" si="4">IF(H6="On Hold","On Hold",IF(A6="","",IF(N6&lt;&gt;"","Done","Not Started")))</f>
        <v/>
      </c>
      <c r="M6" s="51" t="str">
        <f t="shared" ref="M6:M105" si="5">IF(A6="","","Undecided")</f>
        <v/>
      </c>
      <c r="N6" s="53"/>
      <c r="O6" s="51" t="str">
        <f t="shared" ref="O6:O105" si="6">IF(H6="On Hold","On Hold",IF(A6="","",IF(Q6&lt;&gt;"","Done","Not Started")))</f>
        <v/>
      </c>
      <c r="P6" s="51" t="str">
        <f t="shared" ref="P6:P105" si="7">IF(A6="","","Undecided")</f>
        <v/>
      </c>
      <c r="Q6" s="53"/>
      <c r="R6" s="51" t="str">
        <f t="shared" ref="R6:R105" si="8">IF(H6="On Hold","On Hold",IF(A6="","",IF(S6&lt;&gt;"","Done","Not Started")))</f>
        <v/>
      </c>
      <c r="S6" s="53"/>
      <c r="T6" s="54"/>
      <c r="U6" s="55" t="str">
        <f>IFERROR(__xludf.DUMMYFUNCTION("IF(A6="""","""",IF(AND(REGEXMATCH(T6,""Dimension Report""),REGEXMATCH(T6,""Chemical Analysis Report""),REGEXMATCH(T6,""Drawing Report""),REGEXMATCH(T6,""Costing Report"")),""Done"",""Not Done""))"),"")</f>
        <v/>
      </c>
      <c r="V6" s="56" t="str">
        <f t="shared" ref="V6:V105" si="9">IF(U6="Done",IF(V6="",TODAY(),V6),"")</f>
        <v/>
      </c>
      <c r="W6" s="51"/>
    </row>
    <row r="7">
      <c r="A7" s="49"/>
      <c r="B7" s="50"/>
      <c r="C7" s="50"/>
      <c r="D7" s="50"/>
      <c r="E7" s="51"/>
      <c r="F7" s="51"/>
      <c r="G7" s="51"/>
      <c r="H7" s="50" t="str">
        <f t="shared" si="1"/>
        <v/>
      </c>
      <c r="I7" s="51" t="str">
        <f t="shared" si="2"/>
        <v/>
      </c>
      <c r="J7" s="51" t="str">
        <f t="shared" si="3"/>
        <v/>
      </c>
      <c r="K7" s="52"/>
      <c r="L7" s="51" t="str">
        <f t="shared" si="4"/>
        <v/>
      </c>
      <c r="M7" s="51" t="str">
        <f t="shared" si="5"/>
        <v/>
      </c>
      <c r="N7" s="53"/>
      <c r="O7" s="51" t="str">
        <f t="shared" si="6"/>
        <v/>
      </c>
      <c r="P7" s="51" t="str">
        <f t="shared" si="7"/>
        <v/>
      </c>
      <c r="Q7" s="57"/>
      <c r="R7" s="51" t="str">
        <f t="shared" si="8"/>
        <v/>
      </c>
      <c r="S7" s="57"/>
      <c r="T7" s="55"/>
      <c r="U7" s="55" t="str">
        <f>IFERROR(__xludf.DUMMYFUNCTION("IF(A7="""","""",IF(AND(REGEXMATCH(T7,""Dimension Report""),REGEXMATCH(T7,""Chemical Analysis Report""),REGEXMATCH(T7,""Drawing Report""),REGEXMATCH(T7,""Costing Report"")),""Done"",""Not Done""))"),"")</f>
        <v/>
      </c>
      <c r="V7" s="56" t="str">
        <f t="shared" si="9"/>
        <v/>
      </c>
      <c r="W7" s="51"/>
    </row>
    <row r="8">
      <c r="A8" s="49"/>
      <c r="B8" s="50"/>
      <c r="C8" s="50"/>
      <c r="D8" s="50"/>
      <c r="E8" s="51"/>
      <c r="F8" s="51"/>
      <c r="G8" s="51"/>
      <c r="H8" s="50" t="str">
        <f t="shared" si="1"/>
        <v/>
      </c>
      <c r="I8" s="51" t="str">
        <f t="shared" si="2"/>
        <v/>
      </c>
      <c r="J8" s="51" t="str">
        <f t="shared" si="3"/>
        <v/>
      </c>
      <c r="K8" s="58"/>
      <c r="L8" s="51" t="str">
        <f t="shared" si="4"/>
        <v/>
      </c>
      <c r="M8" s="51" t="str">
        <f t="shared" si="5"/>
        <v/>
      </c>
      <c r="N8" s="53"/>
      <c r="O8" s="51" t="str">
        <f t="shared" si="6"/>
        <v/>
      </c>
      <c r="P8" s="51" t="str">
        <f t="shared" si="7"/>
        <v/>
      </c>
      <c r="Q8" s="53"/>
      <c r="R8" s="51" t="str">
        <f t="shared" si="8"/>
        <v/>
      </c>
      <c r="S8" s="57"/>
      <c r="T8" s="54"/>
      <c r="U8" s="55" t="str">
        <f>IFERROR(__xludf.DUMMYFUNCTION("IF(A8="""","""",IF(AND(REGEXMATCH(T8,""Dimension Report""),REGEXMATCH(T8,""Chemical Analysis Report""),REGEXMATCH(T8,""Drawing Report""),REGEXMATCH(T8,""Costing Report"")),""Done"",""Not Done""))"),"")</f>
        <v/>
      </c>
      <c r="V8" s="56" t="str">
        <f t="shared" si="9"/>
        <v/>
      </c>
      <c r="W8" s="51"/>
    </row>
    <row r="9">
      <c r="A9" s="49"/>
      <c r="B9" s="51"/>
      <c r="C9" s="50"/>
      <c r="D9" s="51"/>
      <c r="E9" s="51"/>
      <c r="F9" s="51"/>
      <c r="G9" s="51"/>
      <c r="H9" s="50" t="str">
        <f t="shared" si="1"/>
        <v/>
      </c>
      <c r="I9" s="51" t="str">
        <f t="shared" si="2"/>
        <v/>
      </c>
      <c r="J9" s="51" t="str">
        <f t="shared" si="3"/>
        <v/>
      </c>
      <c r="K9" s="58"/>
      <c r="L9" s="51" t="str">
        <f t="shared" si="4"/>
        <v/>
      </c>
      <c r="M9" s="51" t="str">
        <f t="shared" si="5"/>
        <v/>
      </c>
      <c r="N9" s="53"/>
      <c r="O9" s="51" t="str">
        <f t="shared" si="6"/>
        <v/>
      </c>
      <c r="P9" s="51" t="str">
        <f t="shared" si="7"/>
        <v/>
      </c>
      <c r="Q9" s="57"/>
      <c r="R9" s="51" t="str">
        <f t="shared" si="8"/>
        <v/>
      </c>
      <c r="S9" s="57"/>
      <c r="T9" s="54"/>
      <c r="U9" s="55" t="str">
        <f>IFERROR(__xludf.DUMMYFUNCTION("IF(A9="""","""",IF(AND(REGEXMATCH(T9,""Dimension Report""),REGEXMATCH(T9,""Chemical Analysis Report""),REGEXMATCH(T9,""Drawing Report""),REGEXMATCH(T9,""Costing Report"")),""Done"",""Not Done""))"),"")</f>
        <v/>
      </c>
      <c r="V9" s="56" t="str">
        <f t="shared" si="9"/>
        <v/>
      </c>
      <c r="W9" s="51"/>
    </row>
    <row r="10">
      <c r="A10" s="59"/>
      <c r="B10" s="51"/>
      <c r="C10" s="50"/>
      <c r="D10" s="51"/>
      <c r="E10" s="51"/>
      <c r="F10" s="51"/>
      <c r="G10" s="51"/>
      <c r="H10" s="50" t="str">
        <f t="shared" si="1"/>
        <v/>
      </c>
      <c r="I10" s="51" t="str">
        <f t="shared" si="2"/>
        <v/>
      </c>
      <c r="J10" s="51" t="str">
        <f t="shared" si="3"/>
        <v/>
      </c>
      <c r="K10" s="58"/>
      <c r="L10" s="51" t="str">
        <f t="shared" si="4"/>
        <v/>
      </c>
      <c r="M10" s="51" t="str">
        <f t="shared" si="5"/>
        <v/>
      </c>
      <c r="N10" s="53"/>
      <c r="O10" s="51" t="str">
        <f t="shared" si="6"/>
        <v/>
      </c>
      <c r="P10" s="51" t="str">
        <f t="shared" si="7"/>
        <v/>
      </c>
      <c r="Q10" s="57"/>
      <c r="R10" s="51" t="str">
        <f t="shared" si="8"/>
        <v/>
      </c>
      <c r="S10" s="57"/>
      <c r="T10" s="54"/>
      <c r="U10" s="55" t="str">
        <f>IFERROR(__xludf.DUMMYFUNCTION("IF(A10="""","""",IF(AND(REGEXMATCH(T10,""Dimension Report""),REGEXMATCH(T10,""Chemical Analysis Report""),REGEXMATCH(T10,""Drawing Report""),REGEXMATCH(T10,""Costing Report"")),""Done"",""Not Done""))"),"")</f>
        <v/>
      </c>
      <c r="V10" s="56" t="str">
        <f t="shared" si="9"/>
        <v/>
      </c>
      <c r="W10" s="60"/>
    </row>
    <row r="11">
      <c r="A11" s="59"/>
      <c r="B11" s="51"/>
      <c r="C11" s="51"/>
      <c r="D11" s="51"/>
      <c r="E11" s="51"/>
      <c r="F11" s="51"/>
      <c r="G11" s="51"/>
      <c r="H11" s="50" t="str">
        <f t="shared" si="1"/>
        <v/>
      </c>
      <c r="I11" s="51" t="str">
        <f t="shared" si="2"/>
        <v/>
      </c>
      <c r="J11" s="51" t="str">
        <f t="shared" si="3"/>
        <v/>
      </c>
      <c r="K11" s="58"/>
      <c r="L11" s="51" t="str">
        <f t="shared" si="4"/>
        <v/>
      </c>
      <c r="M11" s="51" t="str">
        <f t="shared" si="5"/>
        <v/>
      </c>
      <c r="N11" s="57"/>
      <c r="O11" s="51" t="str">
        <f t="shared" si="6"/>
        <v/>
      </c>
      <c r="P11" s="51" t="str">
        <f t="shared" si="7"/>
        <v/>
      </c>
      <c r="Q11" s="57"/>
      <c r="R11" s="51" t="str">
        <f t="shared" si="8"/>
        <v/>
      </c>
      <c r="S11" s="57"/>
      <c r="T11" s="54"/>
      <c r="U11" s="55" t="str">
        <f>IFERROR(__xludf.DUMMYFUNCTION("IF(A11="""","""",IF(AND(REGEXMATCH(T11,""Dimension Report""),REGEXMATCH(T11,""Chemical Analysis Report""),REGEXMATCH(T11,""Drawing Report""),REGEXMATCH(T11,""Costing Report"")),""Done"",""Not Done""))"),"")</f>
        <v/>
      </c>
      <c r="V11" s="56" t="str">
        <f t="shared" si="9"/>
        <v/>
      </c>
      <c r="W11" s="51"/>
    </row>
    <row r="12">
      <c r="A12" s="49"/>
      <c r="B12" s="51"/>
      <c r="C12" s="51"/>
      <c r="D12" s="51"/>
      <c r="E12" s="51"/>
      <c r="F12" s="51"/>
      <c r="G12" s="51"/>
      <c r="H12" s="50" t="str">
        <f t="shared" si="1"/>
        <v/>
      </c>
      <c r="I12" s="51" t="str">
        <f t="shared" si="2"/>
        <v/>
      </c>
      <c r="J12" s="51" t="str">
        <f t="shared" si="3"/>
        <v/>
      </c>
      <c r="K12" s="58"/>
      <c r="L12" s="51" t="str">
        <f t="shared" si="4"/>
        <v/>
      </c>
      <c r="M12" s="51" t="str">
        <f t="shared" si="5"/>
        <v/>
      </c>
      <c r="N12" s="57"/>
      <c r="O12" s="51" t="str">
        <f t="shared" si="6"/>
        <v/>
      </c>
      <c r="P12" s="51" t="str">
        <f t="shared" si="7"/>
        <v/>
      </c>
      <c r="Q12" s="57"/>
      <c r="R12" s="51" t="str">
        <f t="shared" si="8"/>
        <v/>
      </c>
      <c r="S12" s="57"/>
      <c r="T12" s="54"/>
      <c r="U12" s="55" t="str">
        <f>IFERROR(__xludf.DUMMYFUNCTION("IF(A12="""","""",IF(AND(REGEXMATCH(T12,""Dimension Report""),REGEXMATCH(T12,""Chemical Analysis Report""),REGEXMATCH(T12,""Drawing Report""),REGEXMATCH(T12,""Costing Report"")),""Done"",""Not Done""))"),"")</f>
        <v/>
      </c>
      <c r="V12" s="56" t="str">
        <f t="shared" si="9"/>
        <v/>
      </c>
      <c r="W12" s="51"/>
    </row>
    <row r="13">
      <c r="A13" s="59"/>
      <c r="B13" s="51"/>
      <c r="C13" s="51"/>
      <c r="D13" s="51"/>
      <c r="E13" s="51"/>
      <c r="F13" s="51"/>
      <c r="G13" s="51"/>
      <c r="H13" s="50" t="str">
        <f t="shared" si="1"/>
        <v/>
      </c>
      <c r="I13" s="51" t="str">
        <f t="shared" si="2"/>
        <v/>
      </c>
      <c r="J13" s="51" t="str">
        <f t="shared" si="3"/>
        <v/>
      </c>
      <c r="K13" s="58"/>
      <c r="L13" s="51" t="str">
        <f t="shared" si="4"/>
        <v/>
      </c>
      <c r="M13" s="51" t="str">
        <f t="shared" si="5"/>
        <v/>
      </c>
      <c r="N13" s="57"/>
      <c r="O13" s="51" t="str">
        <f t="shared" si="6"/>
        <v/>
      </c>
      <c r="P13" s="51" t="str">
        <f t="shared" si="7"/>
        <v/>
      </c>
      <c r="Q13" s="57"/>
      <c r="R13" s="51" t="str">
        <f t="shared" si="8"/>
        <v/>
      </c>
      <c r="S13" s="57"/>
      <c r="T13" s="54"/>
      <c r="U13" s="54" t="str">
        <f>IFERROR(__xludf.DUMMYFUNCTION("IF(A13="""","""",IF(AND(REGEXMATCH(T13,""Dimension Report""),REGEXMATCH(T13,""Chemical Analysis Report""),REGEXMATCH(T13,""Drawing Report""),REGEXMATCH(T13,""Costing Report"")),""Done"",""Not Done""))"),"")</f>
        <v/>
      </c>
      <c r="V13" s="56" t="str">
        <f t="shared" si="9"/>
        <v/>
      </c>
      <c r="W13" s="51"/>
    </row>
    <row r="14">
      <c r="A14" s="59"/>
      <c r="B14" s="51"/>
      <c r="C14" s="51"/>
      <c r="D14" s="51"/>
      <c r="E14" s="51"/>
      <c r="F14" s="51"/>
      <c r="G14" s="51"/>
      <c r="H14" s="50" t="str">
        <f t="shared" si="1"/>
        <v/>
      </c>
      <c r="I14" s="51" t="str">
        <f t="shared" si="2"/>
        <v/>
      </c>
      <c r="J14" s="51" t="str">
        <f t="shared" si="3"/>
        <v/>
      </c>
      <c r="K14" s="58"/>
      <c r="L14" s="51" t="str">
        <f t="shared" si="4"/>
        <v/>
      </c>
      <c r="M14" s="51" t="str">
        <f t="shared" si="5"/>
        <v/>
      </c>
      <c r="N14" s="57"/>
      <c r="O14" s="51" t="str">
        <f t="shared" si="6"/>
        <v/>
      </c>
      <c r="P14" s="51" t="str">
        <f t="shared" si="7"/>
        <v/>
      </c>
      <c r="Q14" s="57"/>
      <c r="R14" s="51" t="str">
        <f t="shared" si="8"/>
        <v/>
      </c>
      <c r="S14" s="57"/>
      <c r="T14" s="54"/>
      <c r="U14" s="54" t="str">
        <f>IFERROR(__xludf.DUMMYFUNCTION("IF(A14="""","""",IF(AND(REGEXMATCH(T14,""Dimension Report""),REGEXMATCH(T14,""Chemical Analysis Report""),REGEXMATCH(T14,""Drawing Report""),REGEXMATCH(T14,""Costing Report"")),""Done"",""Not Done""))"),"")</f>
        <v/>
      </c>
      <c r="V14" s="56" t="str">
        <f t="shared" si="9"/>
        <v/>
      </c>
      <c r="W14" s="51"/>
    </row>
    <row r="15">
      <c r="A15" s="59"/>
      <c r="B15" s="51"/>
      <c r="C15" s="51"/>
      <c r="D15" s="51"/>
      <c r="E15" s="51"/>
      <c r="F15" s="51"/>
      <c r="G15" s="51"/>
      <c r="H15" s="50" t="str">
        <f t="shared" si="1"/>
        <v/>
      </c>
      <c r="I15" s="51" t="str">
        <f t="shared" si="2"/>
        <v/>
      </c>
      <c r="J15" s="51" t="str">
        <f t="shared" si="3"/>
        <v/>
      </c>
      <c r="K15" s="58"/>
      <c r="L15" s="51" t="str">
        <f t="shared" si="4"/>
        <v/>
      </c>
      <c r="M15" s="51" t="str">
        <f t="shared" si="5"/>
        <v/>
      </c>
      <c r="N15" s="57"/>
      <c r="O15" s="51" t="str">
        <f t="shared" si="6"/>
        <v/>
      </c>
      <c r="P15" s="51" t="str">
        <f t="shared" si="7"/>
        <v/>
      </c>
      <c r="Q15" s="57"/>
      <c r="R15" s="51" t="str">
        <f t="shared" si="8"/>
        <v/>
      </c>
      <c r="S15" s="57"/>
      <c r="T15" s="54"/>
      <c r="U15" s="54" t="str">
        <f>IFERROR(__xludf.DUMMYFUNCTION("IF(A15="""","""",IF(AND(REGEXMATCH(T15,""Dimension Report""),REGEXMATCH(T15,""Chemical Analysis Report""),REGEXMATCH(T15,""Drawing Report""),REGEXMATCH(T15,""Costing Report"")),""Done"",""Not Done""))"),"")</f>
        <v/>
      </c>
      <c r="V15" s="56" t="str">
        <f t="shared" si="9"/>
        <v/>
      </c>
      <c r="W15" s="51"/>
    </row>
    <row r="16">
      <c r="A16" s="59"/>
      <c r="B16" s="51"/>
      <c r="C16" s="51"/>
      <c r="D16" s="51"/>
      <c r="E16" s="51"/>
      <c r="F16" s="51"/>
      <c r="G16" s="51"/>
      <c r="H16" s="50" t="str">
        <f t="shared" si="1"/>
        <v/>
      </c>
      <c r="I16" s="51" t="str">
        <f t="shared" si="2"/>
        <v/>
      </c>
      <c r="J16" s="51" t="str">
        <f t="shared" si="3"/>
        <v/>
      </c>
      <c r="K16" s="58"/>
      <c r="L16" s="51" t="str">
        <f t="shared" si="4"/>
        <v/>
      </c>
      <c r="M16" s="51" t="str">
        <f t="shared" si="5"/>
        <v/>
      </c>
      <c r="N16" s="57"/>
      <c r="O16" s="51" t="str">
        <f t="shared" si="6"/>
        <v/>
      </c>
      <c r="P16" s="51" t="str">
        <f t="shared" si="7"/>
        <v/>
      </c>
      <c r="Q16" s="57"/>
      <c r="R16" s="51" t="str">
        <f t="shared" si="8"/>
        <v/>
      </c>
      <c r="S16" s="57"/>
      <c r="T16" s="54"/>
      <c r="U16" s="54" t="str">
        <f>IFERROR(__xludf.DUMMYFUNCTION("IF(A16="""","""",IF(AND(REGEXMATCH(T16,""Dimension Report""),REGEXMATCH(T16,""Chemical Analysis Report""),REGEXMATCH(T16,""Drawing Report""),REGEXMATCH(T16,""Costing Report"")),""Done"",""Not Done""))"),"")</f>
        <v/>
      </c>
      <c r="V16" s="56" t="str">
        <f t="shared" si="9"/>
        <v/>
      </c>
      <c r="W16" s="51"/>
    </row>
    <row r="17">
      <c r="A17" s="59"/>
      <c r="B17" s="51"/>
      <c r="C17" s="51"/>
      <c r="D17" s="51"/>
      <c r="E17" s="51"/>
      <c r="F17" s="51"/>
      <c r="G17" s="51"/>
      <c r="H17" s="50" t="str">
        <f t="shared" si="1"/>
        <v/>
      </c>
      <c r="I17" s="51" t="str">
        <f t="shared" si="2"/>
        <v/>
      </c>
      <c r="J17" s="51" t="str">
        <f t="shared" si="3"/>
        <v/>
      </c>
      <c r="K17" s="58"/>
      <c r="L17" s="51" t="str">
        <f t="shared" si="4"/>
        <v/>
      </c>
      <c r="M17" s="51" t="str">
        <f t="shared" si="5"/>
        <v/>
      </c>
      <c r="N17" s="57"/>
      <c r="O17" s="51" t="str">
        <f t="shared" si="6"/>
        <v/>
      </c>
      <c r="P17" s="51" t="str">
        <f t="shared" si="7"/>
        <v/>
      </c>
      <c r="Q17" s="57"/>
      <c r="R17" s="51" t="str">
        <f t="shared" si="8"/>
        <v/>
      </c>
      <c r="S17" s="57"/>
      <c r="T17" s="54"/>
      <c r="U17" s="54" t="str">
        <f>IFERROR(__xludf.DUMMYFUNCTION("IF(A17="""","""",IF(AND(REGEXMATCH(T17,""Dimension Report""),REGEXMATCH(T17,""Chemical Analysis Report""),REGEXMATCH(T17,""Drawing Report""),REGEXMATCH(T17,""Costing Report"")),""Done"",""Not Done""))"),"")</f>
        <v/>
      </c>
      <c r="V17" s="56" t="str">
        <f t="shared" si="9"/>
        <v/>
      </c>
      <c r="W17" s="51"/>
    </row>
    <row r="18">
      <c r="A18" s="59"/>
      <c r="B18" s="51"/>
      <c r="C18" s="51"/>
      <c r="D18" s="51"/>
      <c r="E18" s="51"/>
      <c r="F18" s="51"/>
      <c r="G18" s="51"/>
      <c r="H18" s="50" t="str">
        <f t="shared" si="1"/>
        <v/>
      </c>
      <c r="I18" s="51" t="str">
        <f t="shared" si="2"/>
        <v/>
      </c>
      <c r="J18" s="51" t="str">
        <f t="shared" si="3"/>
        <v/>
      </c>
      <c r="K18" s="58"/>
      <c r="L18" s="51" t="str">
        <f t="shared" si="4"/>
        <v/>
      </c>
      <c r="M18" s="51" t="str">
        <f t="shared" si="5"/>
        <v/>
      </c>
      <c r="N18" s="57"/>
      <c r="O18" s="51" t="str">
        <f t="shared" si="6"/>
        <v/>
      </c>
      <c r="P18" s="51" t="str">
        <f t="shared" si="7"/>
        <v/>
      </c>
      <c r="Q18" s="57"/>
      <c r="R18" s="51" t="str">
        <f t="shared" si="8"/>
        <v/>
      </c>
      <c r="S18" s="57"/>
      <c r="T18" s="54"/>
      <c r="U18" s="54" t="str">
        <f>IFERROR(__xludf.DUMMYFUNCTION("IF(A18="""","""",IF(AND(REGEXMATCH(T18,""Dimension Report""),REGEXMATCH(T18,""Chemical Analysis Report""),REGEXMATCH(T18,""Drawing Report""),REGEXMATCH(T18,""Costing Report"")),""Done"",""Not Done""))"),"")</f>
        <v/>
      </c>
      <c r="V18" s="56" t="str">
        <f t="shared" si="9"/>
        <v/>
      </c>
      <c r="W18" s="51"/>
    </row>
    <row r="19">
      <c r="A19" s="59"/>
      <c r="B19" s="51"/>
      <c r="C19" s="51"/>
      <c r="D19" s="51"/>
      <c r="E19" s="51"/>
      <c r="F19" s="51"/>
      <c r="G19" s="51"/>
      <c r="H19" s="50" t="str">
        <f t="shared" si="1"/>
        <v/>
      </c>
      <c r="I19" s="51" t="str">
        <f t="shared" si="2"/>
        <v/>
      </c>
      <c r="J19" s="51" t="str">
        <f t="shared" si="3"/>
        <v/>
      </c>
      <c r="K19" s="58"/>
      <c r="L19" s="51" t="str">
        <f t="shared" si="4"/>
        <v/>
      </c>
      <c r="M19" s="51" t="str">
        <f t="shared" si="5"/>
        <v/>
      </c>
      <c r="N19" s="57"/>
      <c r="O19" s="51" t="str">
        <f t="shared" si="6"/>
        <v/>
      </c>
      <c r="P19" s="51" t="str">
        <f t="shared" si="7"/>
        <v/>
      </c>
      <c r="Q19" s="57"/>
      <c r="R19" s="51" t="str">
        <f t="shared" si="8"/>
        <v/>
      </c>
      <c r="S19" s="57"/>
      <c r="T19" s="54"/>
      <c r="U19" s="54" t="str">
        <f>IFERROR(__xludf.DUMMYFUNCTION("IF(A19="""","""",IF(AND(REGEXMATCH(T19,""Dimension Report""),REGEXMATCH(T19,""Chemical Analysis Report""),REGEXMATCH(T19,""Drawing Report""),REGEXMATCH(T19,""Costing Report"")),""Done"",""Not Done""))"),"")</f>
        <v/>
      </c>
      <c r="V19" s="56" t="str">
        <f t="shared" si="9"/>
        <v/>
      </c>
      <c r="W19" s="51"/>
    </row>
    <row r="20">
      <c r="A20" s="59"/>
      <c r="B20" s="51"/>
      <c r="C20" s="51"/>
      <c r="D20" s="51"/>
      <c r="E20" s="51"/>
      <c r="F20" s="51"/>
      <c r="G20" s="51"/>
      <c r="H20" s="50" t="str">
        <f t="shared" si="1"/>
        <v/>
      </c>
      <c r="I20" s="51" t="str">
        <f t="shared" si="2"/>
        <v/>
      </c>
      <c r="J20" s="51" t="str">
        <f t="shared" si="3"/>
        <v/>
      </c>
      <c r="K20" s="58"/>
      <c r="L20" s="51" t="str">
        <f t="shared" si="4"/>
        <v/>
      </c>
      <c r="M20" s="51" t="str">
        <f t="shared" si="5"/>
        <v/>
      </c>
      <c r="N20" s="57"/>
      <c r="O20" s="51" t="str">
        <f t="shared" si="6"/>
        <v/>
      </c>
      <c r="P20" s="51" t="str">
        <f t="shared" si="7"/>
        <v/>
      </c>
      <c r="Q20" s="57"/>
      <c r="R20" s="51" t="str">
        <f t="shared" si="8"/>
        <v/>
      </c>
      <c r="S20" s="57"/>
      <c r="T20" s="54"/>
      <c r="U20" s="54" t="str">
        <f>IFERROR(__xludf.DUMMYFUNCTION("IF(A20="""","""",IF(AND(REGEXMATCH(T20,""Dimension Report""),REGEXMATCH(T20,""Chemical Analysis Report""),REGEXMATCH(T20,""Drawing Report""),REGEXMATCH(T20,""Costing Report"")),""Done"",""Not Done""))"),"")</f>
        <v/>
      </c>
      <c r="V20" s="56" t="str">
        <f t="shared" si="9"/>
        <v/>
      </c>
      <c r="W20" s="51"/>
    </row>
    <row r="21">
      <c r="A21" s="59"/>
      <c r="B21" s="51"/>
      <c r="C21" s="51"/>
      <c r="D21" s="51"/>
      <c r="E21" s="51"/>
      <c r="F21" s="51"/>
      <c r="G21" s="51"/>
      <c r="H21" s="50" t="str">
        <f t="shared" si="1"/>
        <v/>
      </c>
      <c r="I21" s="51" t="str">
        <f t="shared" si="2"/>
        <v/>
      </c>
      <c r="J21" s="51" t="str">
        <f t="shared" si="3"/>
        <v/>
      </c>
      <c r="K21" s="58"/>
      <c r="L21" s="51" t="str">
        <f t="shared" si="4"/>
        <v/>
      </c>
      <c r="M21" s="51" t="str">
        <f t="shared" si="5"/>
        <v/>
      </c>
      <c r="N21" s="57"/>
      <c r="O21" s="51" t="str">
        <f t="shared" si="6"/>
        <v/>
      </c>
      <c r="P21" s="51" t="str">
        <f t="shared" si="7"/>
        <v/>
      </c>
      <c r="Q21" s="57"/>
      <c r="R21" s="51" t="str">
        <f t="shared" si="8"/>
        <v/>
      </c>
      <c r="S21" s="57"/>
      <c r="T21" s="54"/>
      <c r="U21" s="54" t="str">
        <f>IFERROR(__xludf.DUMMYFUNCTION("IF(A21="""","""",IF(AND(REGEXMATCH(T21,""Dimension Report""),REGEXMATCH(T21,""Chemical Analysis Report""),REGEXMATCH(T21,""Drawing Report""),REGEXMATCH(T21,""Costing Report"")),""Done"",""Not Done""))"),"")</f>
        <v/>
      </c>
      <c r="V21" s="56" t="str">
        <f t="shared" si="9"/>
        <v/>
      </c>
      <c r="W21" s="51"/>
    </row>
    <row r="22">
      <c r="A22" s="59"/>
      <c r="B22" s="51"/>
      <c r="C22" s="51"/>
      <c r="D22" s="51"/>
      <c r="E22" s="51"/>
      <c r="F22" s="51"/>
      <c r="G22" s="51"/>
      <c r="H22" s="50" t="str">
        <f t="shared" si="1"/>
        <v/>
      </c>
      <c r="I22" s="51" t="str">
        <f t="shared" si="2"/>
        <v/>
      </c>
      <c r="J22" s="51" t="str">
        <f t="shared" si="3"/>
        <v/>
      </c>
      <c r="K22" s="58"/>
      <c r="L22" s="51" t="str">
        <f t="shared" si="4"/>
        <v/>
      </c>
      <c r="M22" s="51" t="str">
        <f t="shared" si="5"/>
        <v/>
      </c>
      <c r="N22" s="57"/>
      <c r="O22" s="51" t="str">
        <f t="shared" si="6"/>
        <v/>
      </c>
      <c r="P22" s="51" t="str">
        <f t="shared" si="7"/>
        <v/>
      </c>
      <c r="Q22" s="57"/>
      <c r="R22" s="51" t="str">
        <f t="shared" si="8"/>
        <v/>
      </c>
      <c r="S22" s="57"/>
      <c r="T22" s="54"/>
      <c r="U22" s="54" t="str">
        <f>IFERROR(__xludf.DUMMYFUNCTION("IF(A22="""","""",IF(AND(REGEXMATCH(T22,""Dimension Report""),REGEXMATCH(T22,""Chemical Analysis Report""),REGEXMATCH(T22,""Drawing Report""),REGEXMATCH(T22,""Costing Report"")),""Done"",""Not Done""))"),"")</f>
        <v/>
      </c>
      <c r="V22" s="56" t="str">
        <f t="shared" si="9"/>
        <v/>
      </c>
      <c r="W22" s="51"/>
    </row>
    <row r="23">
      <c r="A23" s="59"/>
      <c r="B23" s="51"/>
      <c r="C23" s="51"/>
      <c r="D23" s="51"/>
      <c r="E23" s="51"/>
      <c r="F23" s="51"/>
      <c r="G23" s="51"/>
      <c r="H23" s="50" t="str">
        <f t="shared" si="1"/>
        <v/>
      </c>
      <c r="I23" s="51" t="str">
        <f t="shared" si="2"/>
        <v/>
      </c>
      <c r="J23" s="51" t="str">
        <f t="shared" si="3"/>
        <v/>
      </c>
      <c r="K23" s="58"/>
      <c r="L23" s="51" t="str">
        <f t="shared" si="4"/>
        <v/>
      </c>
      <c r="M23" s="51" t="str">
        <f t="shared" si="5"/>
        <v/>
      </c>
      <c r="N23" s="57"/>
      <c r="O23" s="51" t="str">
        <f t="shared" si="6"/>
        <v/>
      </c>
      <c r="P23" s="51" t="str">
        <f t="shared" si="7"/>
        <v/>
      </c>
      <c r="Q23" s="57"/>
      <c r="R23" s="51" t="str">
        <f t="shared" si="8"/>
        <v/>
      </c>
      <c r="S23" s="57"/>
      <c r="T23" s="54"/>
      <c r="U23" s="54" t="str">
        <f>IFERROR(__xludf.DUMMYFUNCTION("IF(A23="""","""",IF(AND(REGEXMATCH(T23,""Dimension Report""),REGEXMATCH(T23,""Chemical Analysis Report""),REGEXMATCH(T23,""Drawing Report""),REGEXMATCH(T23,""Costing Report"")),""Done"",""Not Done""))"),"")</f>
        <v/>
      </c>
      <c r="V23" s="56" t="str">
        <f t="shared" si="9"/>
        <v/>
      </c>
      <c r="W23" s="51"/>
    </row>
    <row r="24">
      <c r="A24" s="59"/>
      <c r="B24" s="51"/>
      <c r="C24" s="51"/>
      <c r="D24" s="51"/>
      <c r="E24" s="51"/>
      <c r="F24" s="51"/>
      <c r="G24" s="51"/>
      <c r="H24" s="50" t="str">
        <f t="shared" si="1"/>
        <v/>
      </c>
      <c r="I24" s="51" t="str">
        <f t="shared" si="2"/>
        <v/>
      </c>
      <c r="J24" s="51" t="str">
        <f t="shared" si="3"/>
        <v/>
      </c>
      <c r="K24" s="58"/>
      <c r="L24" s="51" t="str">
        <f t="shared" si="4"/>
        <v/>
      </c>
      <c r="M24" s="51" t="str">
        <f t="shared" si="5"/>
        <v/>
      </c>
      <c r="N24" s="57"/>
      <c r="O24" s="51" t="str">
        <f t="shared" si="6"/>
        <v/>
      </c>
      <c r="P24" s="51" t="str">
        <f t="shared" si="7"/>
        <v/>
      </c>
      <c r="Q24" s="57"/>
      <c r="R24" s="51" t="str">
        <f t="shared" si="8"/>
        <v/>
      </c>
      <c r="S24" s="57"/>
      <c r="T24" s="54"/>
      <c r="U24" s="54" t="str">
        <f>IFERROR(__xludf.DUMMYFUNCTION("IF(A24="""","""",IF(AND(REGEXMATCH(T24,""Dimension Report""),REGEXMATCH(T24,""Chemical Analysis Report""),REGEXMATCH(T24,""Drawing Report""),REGEXMATCH(T24,""Costing Report"")),""Done"",""Not Done""))"),"")</f>
        <v/>
      </c>
      <c r="V24" s="56" t="str">
        <f t="shared" si="9"/>
        <v/>
      </c>
      <c r="W24" s="51"/>
    </row>
    <row r="25">
      <c r="A25" s="59"/>
      <c r="B25" s="51"/>
      <c r="C25" s="51"/>
      <c r="D25" s="51"/>
      <c r="E25" s="51"/>
      <c r="F25" s="51"/>
      <c r="G25" s="51"/>
      <c r="H25" s="50" t="str">
        <f t="shared" si="1"/>
        <v/>
      </c>
      <c r="I25" s="51" t="str">
        <f t="shared" si="2"/>
        <v/>
      </c>
      <c r="J25" s="51" t="str">
        <f t="shared" si="3"/>
        <v/>
      </c>
      <c r="K25" s="58"/>
      <c r="L25" s="51" t="str">
        <f t="shared" si="4"/>
        <v/>
      </c>
      <c r="M25" s="51" t="str">
        <f t="shared" si="5"/>
        <v/>
      </c>
      <c r="N25" s="57"/>
      <c r="O25" s="51" t="str">
        <f t="shared" si="6"/>
        <v/>
      </c>
      <c r="P25" s="51" t="str">
        <f t="shared" si="7"/>
        <v/>
      </c>
      <c r="Q25" s="57"/>
      <c r="R25" s="51" t="str">
        <f t="shared" si="8"/>
        <v/>
      </c>
      <c r="S25" s="57"/>
      <c r="T25" s="54"/>
      <c r="U25" s="54" t="str">
        <f>IFERROR(__xludf.DUMMYFUNCTION("IF(A25="""","""",IF(AND(REGEXMATCH(T25,""Dimension Report""),REGEXMATCH(T25,""Chemical Analysis Report""),REGEXMATCH(T25,""Drawing Report""),REGEXMATCH(T25,""Costing Report"")),""Done"",""Not Done""))"),"")</f>
        <v/>
      </c>
      <c r="V25" s="56" t="str">
        <f t="shared" si="9"/>
        <v/>
      </c>
      <c r="W25" s="51"/>
    </row>
    <row r="26">
      <c r="A26" s="59"/>
      <c r="B26" s="51"/>
      <c r="C26" s="51"/>
      <c r="D26" s="51"/>
      <c r="E26" s="51"/>
      <c r="F26" s="51"/>
      <c r="G26" s="51"/>
      <c r="H26" s="50" t="str">
        <f t="shared" si="1"/>
        <v/>
      </c>
      <c r="I26" s="51" t="str">
        <f t="shared" si="2"/>
        <v/>
      </c>
      <c r="J26" s="51" t="str">
        <f t="shared" si="3"/>
        <v/>
      </c>
      <c r="K26" s="58"/>
      <c r="L26" s="51" t="str">
        <f t="shared" si="4"/>
        <v/>
      </c>
      <c r="M26" s="51" t="str">
        <f t="shared" si="5"/>
        <v/>
      </c>
      <c r="N26" s="57"/>
      <c r="O26" s="51" t="str">
        <f t="shared" si="6"/>
        <v/>
      </c>
      <c r="P26" s="51" t="str">
        <f t="shared" si="7"/>
        <v/>
      </c>
      <c r="Q26" s="57"/>
      <c r="R26" s="51" t="str">
        <f t="shared" si="8"/>
        <v/>
      </c>
      <c r="S26" s="57"/>
      <c r="T26" s="54"/>
      <c r="U26" s="54" t="str">
        <f>IFERROR(__xludf.DUMMYFUNCTION("IF(A26="""","""",IF(AND(REGEXMATCH(T26,""Dimension Report""),REGEXMATCH(T26,""Chemical Analysis Report""),REGEXMATCH(T26,""Drawing Report""),REGEXMATCH(T26,""Costing Report"")),""Done"",""Not Done""))"),"")</f>
        <v/>
      </c>
      <c r="V26" s="56" t="str">
        <f t="shared" si="9"/>
        <v/>
      </c>
      <c r="W26" s="51"/>
    </row>
    <row r="27">
      <c r="A27" s="59"/>
      <c r="B27" s="51"/>
      <c r="C27" s="51"/>
      <c r="D27" s="51"/>
      <c r="E27" s="51"/>
      <c r="F27" s="51"/>
      <c r="G27" s="51"/>
      <c r="H27" s="50" t="str">
        <f t="shared" si="1"/>
        <v/>
      </c>
      <c r="I27" s="51" t="str">
        <f t="shared" si="2"/>
        <v/>
      </c>
      <c r="J27" s="51" t="str">
        <f t="shared" si="3"/>
        <v/>
      </c>
      <c r="K27" s="58"/>
      <c r="L27" s="51" t="str">
        <f t="shared" si="4"/>
        <v/>
      </c>
      <c r="M27" s="51" t="str">
        <f t="shared" si="5"/>
        <v/>
      </c>
      <c r="N27" s="57"/>
      <c r="O27" s="51" t="str">
        <f t="shared" si="6"/>
        <v/>
      </c>
      <c r="P27" s="51" t="str">
        <f t="shared" si="7"/>
        <v/>
      </c>
      <c r="Q27" s="57"/>
      <c r="R27" s="51" t="str">
        <f t="shared" si="8"/>
        <v/>
      </c>
      <c r="S27" s="57"/>
      <c r="T27" s="54"/>
      <c r="U27" s="54" t="str">
        <f>IFERROR(__xludf.DUMMYFUNCTION("IF(A27="""","""",IF(AND(REGEXMATCH(T27,""Dimension Report""),REGEXMATCH(T27,""Chemical Analysis Report""),REGEXMATCH(T27,""Drawing Report""),REGEXMATCH(T27,""Costing Report"")),""Done"",""Not Done""))"),"")</f>
        <v/>
      </c>
      <c r="V27" s="56" t="str">
        <f t="shared" si="9"/>
        <v/>
      </c>
      <c r="W27" s="51"/>
    </row>
    <row r="28">
      <c r="A28" s="59"/>
      <c r="B28" s="51"/>
      <c r="C28" s="51"/>
      <c r="D28" s="51"/>
      <c r="E28" s="51"/>
      <c r="F28" s="51"/>
      <c r="G28" s="51"/>
      <c r="H28" s="50" t="str">
        <f t="shared" si="1"/>
        <v/>
      </c>
      <c r="I28" s="51" t="str">
        <f t="shared" si="2"/>
        <v/>
      </c>
      <c r="J28" s="51" t="str">
        <f t="shared" si="3"/>
        <v/>
      </c>
      <c r="K28" s="58"/>
      <c r="L28" s="51" t="str">
        <f t="shared" si="4"/>
        <v/>
      </c>
      <c r="M28" s="51" t="str">
        <f t="shared" si="5"/>
        <v/>
      </c>
      <c r="N28" s="57"/>
      <c r="O28" s="51" t="str">
        <f t="shared" si="6"/>
        <v/>
      </c>
      <c r="P28" s="51" t="str">
        <f t="shared" si="7"/>
        <v/>
      </c>
      <c r="Q28" s="57"/>
      <c r="R28" s="51" t="str">
        <f t="shared" si="8"/>
        <v/>
      </c>
      <c r="S28" s="57"/>
      <c r="T28" s="54"/>
      <c r="U28" s="54" t="str">
        <f>IFERROR(__xludf.DUMMYFUNCTION("IF(A28="""","""",IF(AND(REGEXMATCH(T28,""Dimension Report""),REGEXMATCH(T28,""Chemical Analysis Report""),REGEXMATCH(T28,""Drawing Report""),REGEXMATCH(T28,""Costing Report"")),""Done"",""Not Done""))"),"")</f>
        <v/>
      </c>
      <c r="V28" s="56" t="str">
        <f t="shared" si="9"/>
        <v/>
      </c>
      <c r="W28" s="51"/>
    </row>
    <row r="29">
      <c r="A29" s="59"/>
      <c r="B29" s="51"/>
      <c r="C29" s="51"/>
      <c r="D29" s="51"/>
      <c r="E29" s="51"/>
      <c r="F29" s="51"/>
      <c r="G29" s="51"/>
      <c r="H29" s="50" t="str">
        <f t="shared" si="1"/>
        <v/>
      </c>
      <c r="I29" s="51" t="str">
        <f t="shared" si="2"/>
        <v/>
      </c>
      <c r="J29" s="51" t="str">
        <f t="shared" si="3"/>
        <v/>
      </c>
      <c r="K29" s="58"/>
      <c r="L29" s="51" t="str">
        <f t="shared" si="4"/>
        <v/>
      </c>
      <c r="M29" s="51" t="str">
        <f t="shared" si="5"/>
        <v/>
      </c>
      <c r="N29" s="57"/>
      <c r="O29" s="51" t="str">
        <f t="shared" si="6"/>
        <v/>
      </c>
      <c r="P29" s="51" t="str">
        <f t="shared" si="7"/>
        <v/>
      </c>
      <c r="Q29" s="57"/>
      <c r="R29" s="51" t="str">
        <f t="shared" si="8"/>
        <v/>
      </c>
      <c r="S29" s="57"/>
      <c r="T29" s="54"/>
      <c r="U29" s="54" t="str">
        <f>IFERROR(__xludf.DUMMYFUNCTION("IF(A29="""","""",IF(AND(REGEXMATCH(T29,""Dimension Report""),REGEXMATCH(T29,""Chemical Analysis Report""),REGEXMATCH(T29,""Drawing Report""),REGEXMATCH(T29,""Costing Report"")),""Done"",""Not Done""))"),"")</f>
        <v/>
      </c>
      <c r="V29" s="56" t="str">
        <f t="shared" si="9"/>
        <v/>
      </c>
      <c r="W29" s="51"/>
    </row>
    <row r="30">
      <c r="A30" s="59"/>
      <c r="B30" s="51"/>
      <c r="C30" s="51"/>
      <c r="D30" s="51"/>
      <c r="E30" s="51"/>
      <c r="F30" s="51"/>
      <c r="G30" s="51"/>
      <c r="H30" s="50" t="str">
        <f t="shared" si="1"/>
        <v/>
      </c>
      <c r="I30" s="51" t="str">
        <f t="shared" si="2"/>
        <v/>
      </c>
      <c r="J30" s="51" t="str">
        <f t="shared" si="3"/>
        <v/>
      </c>
      <c r="K30" s="58"/>
      <c r="L30" s="51" t="str">
        <f t="shared" si="4"/>
        <v/>
      </c>
      <c r="M30" s="51" t="str">
        <f t="shared" si="5"/>
        <v/>
      </c>
      <c r="N30" s="57"/>
      <c r="O30" s="51" t="str">
        <f t="shared" si="6"/>
        <v/>
      </c>
      <c r="P30" s="51" t="str">
        <f t="shared" si="7"/>
        <v/>
      </c>
      <c r="Q30" s="57"/>
      <c r="R30" s="51" t="str">
        <f t="shared" si="8"/>
        <v/>
      </c>
      <c r="S30" s="57"/>
      <c r="T30" s="54"/>
      <c r="U30" s="54" t="str">
        <f>IFERROR(__xludf.DUMMYFUNCTION("IF(A30="""","""",IF(AND(REGEXMATCH(T30,""Dimension Report""),REGEXMATCH(T30,""Chemical Analysis Report""),REGEXMATCH(T30,""Drawing Report""),REGEXMATCH(T30,""Costing Report"")),""Done"",""Not Done""))"),"")</f>
        <v/>
      </c>
      <c r="V30" s="56" t="str">
        <f t="shared" si="9"/>
        <v/>
      </c>
      <c r="W30" s="51"/>
    </row>
    <row r="31">
      <c r="A31" s="59"/>
      <c r="B31" s="51"/>
      <c r="C31" s="51"/>
      <c r="D31" s="51"/>
      <c r="E31" s="51"/>
      <c r="F31" s="51"/>
      <c r="G31" s="51"/>
      <c r="H31" s="50" t="str">
        <f t="shared" si="1"/>
        <v/>
      </c>
      <c r="I31" s="51" t="str">
        <f t="shared" si="2"/>
        <v/>
      </c>
      <c r="J31" s="51" t="str">
        <f t="shared" si="3"/>
        <v/>
      </c>
      <c r="K31" s="58"/>
      <c r="L31" s="51" t="str">
        <f t="shared" si="4"/>
        <v/>
      </c>
      <c r="M31" s="51" t="str">
        <f t="shared" si="5"/>
        <v/>
      </c>
      <c r="N31" s="57"/>
      <c r="O31" s="51" t="str">
        <f t="shared" si="6"/>
        <v/>
      </c>
      <c r="P31" s="51" t="str">
        <f t="shared" si="7"/>
        <v/>
      </c>
      <c r="Q31" s="57"/>
      <c r="R31" s="51" t="str">
        <f t="shared" si="8"/>
        <v/>
      </c>
      <c r="S31" s="57"/>
      <c r="T31" s="54"/>
      <c r="U31" s="54" t="str">
        <f>IFERROR(__xludf.DUMMYFUNCTION("IF(A31="""","""",IF(AND(REGEXMATCH(T31,""Dimension Report""),REGEXMATCH(T31,""Chemical Analysis Report""),REGEXMATCH(T31,""Drawing Report""),REGEXMATCH(T31,""Costing Report"")),""Done"",""Not Done""))"),"")</f>
        <v/>
      </c>
      <c r="V31" s="56" t="str">
        <f t="shared" si="9"/>
        <v/>
      </c>
      <c r="W31" s="51"/>
    </row>
    <row r="32">
      <c r="A32" s="59"/>
      <c r="B32" s="51"/>
      <c r="C32" s="51"/>
      <c r="D32" s="51"/>
      <c r="E32" s="51"/>
      <c r="F32" s="51"/>
      <c r="G32" s="51"/>
      <c r="H32" s="50" t="str">
        <f t="shared" si="1"/>
        <v/>
      </c>
      <c r="I32" s="51" t="str">
        <f t="shared" si="2"/>
        <v/>
      </c>
      <c r="J32" s="51" t="str">
        <f t="shared" si="3"/>
        <v/>
      </c>
      <c r="K32" s="58"/>
      <c r="L32" s="51" t="str">
        <f t="shared" si="4"/>
        <v/>
      </c>
      <c r="M32" s="51" t="str">
        <f t="shared" si="5"/>
        <v/>
      </c>
      <c r="N32" s="57"/>
      <c r="O32" s="51" t="str">
        <f t="shared" si="6"/>
        <v/>
      </c>
      <c r="P32" s="51" t="str">
        <f t="shared" si="7"/>
        <v/>
      </c>
      <c r="Q32" s="57"/>
      <c r="R32" s="51" t="str">
        <f t="shared" si="8"/>
        <v/>
      </c>
      <c r="S32" s="57"/>
      <c r="T32" s="54"/>
      <c r="U32" s="54" t="str">
        <f>IFERROR(__xludf.DUMMYFUNCTION("IF(A32="""","""",IF(AND(REGEXMATCH(T32,""Dimension Report""),REGEXMATCH(T32,""Chemical Analysis Report""),REGEXMATCH(T32,""Drawing Report""),REGEXMATCH(T32,""Costing Report"")),""Done"",""Not Done""))"),"")</f>
        <v/>
      </c>
      <c r="V32" s="56" t="str">
        <f t="shared" si="9"/>
        <v/>
      </c>
      <c r="W32" s="51"/>
    </row>
    <row r="33">
      <c r="A33" s="59"/>
      <c r="B33" s="51"/>
      <c r="C33" s="51"/>
      <c r="D33" s="51"/>
      <c r="E33" s="51"/>
      <c r="F33" s="51"/>
      <c r="G33" s="51"/>
      <c r="H33" s="50" t="str">
        <f t="shared" si="1"/>
        <v/>
      </c>
      <c r="I33" s="51" t="str">
        <f t="shared" si="2"/>
        <v/>
      </c>
      <c r="J33" s="51" t="str">
        <f t="shared" si="3"/>
        <v/>
      </c>
      <c r="K33" s="58"/>
      <c r="L33" s="51" t="str">
        <f t="shared" si="4"/>
        <v/>
      </c>
      <c r="M33" s="51" t="str">
        <f t="shared" si="5"/>
        <v/>
      </c>
      <c r="N33" s="57"/>
      <c r="O33" s="51" t="str">
        <f t="shared" si="6"/>
        <v/>
      </c>
      <c r="P33" s="51" t="str">
        <f t="shared" si="7"/>
        <v/>
      </c>
      <c r="Q33" s="57"/>
      <c r="R33" s="51" t="str">
        <f t="shared" si="8"/>
        <v/>
      </c>
      <c r="S33" s="57"/>
      <c r="T33" s="54"/>
      <c r="U33" s="54" t="str">
        <f>IFERROR(__xludf.DUMMYFUNCTION("IF(A33="""","""",IF(AND(REGEXMATCH(T33,""Dimension Report""),REGEXMATCH(T33,""Chemical Analysis Report""),REGEXMATCH(T33,""Drawing Report""),REGEXMATCH(T33,""Costing Report"")),""Done"",""Not Done""))"),"")</f>
        <v/>
      </c>
      <c r="V33" s="56" t="str">
        <f t="shared" si="9"/>
        <v/>
      </c>
      <c r="W33" s="51"/>
    </row>
    <row r="34">
      <c r="A34" s="59"/>
      <c r="B34" s="51"/>
      <c r="C34" s="51"/>
      <c r="D34" s="51"/>
      <c r="E34" s="51"/>
      <c r="F34" s="51"/>
      <c r="G34" s="51"/>
      <c r="H34" s="50" t="str">
        <f t="shared" si="1"/>
        <v/>
      </c>
      <c r="I34" s="51" t="str">
        <f t="shared" si="2"/>
        <v/>
      </c>
      <c r="J34" s="51" t="str">
        <f t="shared" si="3"/>
        <v/>
      </c>
      <c r="K34" s="58"/>
      <c r="L34" s="51" t="str">
        <f t="shared" si="4"/>
        <v/>
      </c>
      <c r="M34" s="51" t="str">
        <f t="shared" si="5"/>
        <v/>
      </c>
      <c r="N34" s="57"/>
      <c r="O34" s="51" t="str">
        <f t="shared" si="6"/>
        <v/>
      </c>
      <c r="P34" s="51" t="str">
        <f t="shared" si="7"/>
        <v/>
      </c>
      <c r="Q34" s="57"/>
      <c r="R34" s="51" t="str">
        <f t="shared" si="8"/>
        <v/>
      </c>
      <c r="S34" s="57"/>
      <c r="T34" s="54"/>
      <c r="U34" s="54" t="str">
        <f>IFERROR(__xludf.DUMMYFUNCTION("IF(A34="""","""",IF(AND(REGEXMATCH(T34,""Dimension Report""),REGEXMATCH(T34,""Chemical Analysis Report""),REGEXMATCH(T34,""Drawing Report""),REGEXMATCH(T34,""Costing Report"")),""Done"",""Not Done""))"),"")</f>
        <v/>
      </c>
      <c r="V34" s="56" t="str">
        <f t="shared" si="9"/>
        <v/>
      </c>
      <c r="W34" s="51"/>
    </row>
    <row r="35">
      <c r="A35" s="59"/>
      <c r="B35" s="51"/>
      <c r="C35" s="51"/>
      <c r="D35" s="51"/>
      <c r="E35" s="51"/>
      <c r="F35" s="51"/>
      <c r="G35" s="51"/>
      <c r="H35" s="50" t="str">
        <f t="shared" si="1"/>
        <v/>
      </c>
      <c r="I35" s="51" t="str">
        <f t="shared" si="2"/>
        <v/>
      </c>
      <c r="J35" s="51" t="str">
        <f t="shared" si="3"/>
        <v/>
      </c>
      <c r="K35" s="58"/>
      <c r="L35" s="51" t="str">
        <f t="shared" si="4"/>
        <v/>
      </c>
      <c r="M35" s="51" t="str">
        <f t="shared" si="5"/>
        <v/>
      </c>
      <c r="N35" s="57"/>
      <c r="O35" s="51" t="str">
        <f t="shared" si="6"/>
        <v/>
      </c>
      <c r="P35" s="51" t="str">
        <f t="shared" si="7"/>
        <v/>
      </c>
      <c r="Q35" s="57"/>
      <c r="R35" s="51" t="str">
        <f t="shared" si="8"/>
        <v/>
      </c>
      <c r="S35" s="57"/>
      <c r="T35" s="54"/>
      <c r="U35" s="54" t="str">
        <f>IFERROR(__xludf.DUMMYFUNCTION("IF(A35="""","""",IF(AND(REGEXMATCH(T35,""Dimension Report""),REGEXMATCH(T35,""Chemical Analysis Report""),REGEXMATCH(T35,""Drawing Report""),REGEXMATCH(T35,""Costing Report"")),""Done"",""Not Done""))"),"")</f>
        <v/>
      </c>
      <c r="V35" s="56" t="str">
        <f t="shared" si="9"/>
        <v/>
      </c>
      <c r="W35" s="51"/>
    </row>
    <row r="36">
      <c r="A36" s="59"/>
      <c r="B36" s="51"/>
      <c r="C36" s="51"/>
      <c r="D36" s="51"/>
      <c r="E36" s="51"/>
      <c r="F36" s="51"/>
      <c r="G36" s="51"/>
      <c r="H36" s="50" t="str">
        <f t="shared" si="1"/>
        <v/>
      </c>
      <c r="I36" s="51" t="str">
        <f t="shared" si="2"/>
        <v/>
      </c>
      <c r="J36" s="51" t="str">
        <f t="shared" si="3"/>
        <v/>
      </c>
      <c r="K36" s="58"/>
      <c r="L36" s="51" t="str">
        <f t="shared" si="4"/>
        <v/>
      </c>
      <c r="M36" s="51" t="str">
        <f t="shared" si="5"/>
        <v/>
      </c>
      <c r="N36" s="57"/>
      <c r="O36" s="51" t="str">
        <f t="shared" si="6"/>
        <v/>
      </c>
      <c r="P36" s="51" t="str">
        <f t="shared" si="7"/>
        <v/>
      </c>
      <c r="Q36" s="57"/>
      <c r="R36" s="51" t="str">
        <f t="shared" si="8"/>
        <v/>
      </c>
      <c r="S36" s="57"/>
      <c r="T36" s="54"/>
      <c r="U36" s="54" t="str">
        <f>IFERROR(__xludf.DUMMYFUNCTION("IF(A36="""","""",IF(AND(REGEXMATCH(T36,""Dimension Report""),REGEXMATCH(T36,""Chemical Analysis Report""),REGEXMATCH(T36,""Drawing Report""),REGEXMATCH(T36,""Costing Report"")),""Done"",""Not Done""))"),"")</f>
        <v/>
      </c>
      <c r="V36" s="56" t="str">
        <f t="shared" si="9"/>
        <v/>
      </c>
      <c r="W36" s="51"/>
    </row>
    <row r="37">
      <c r="A37" s="59"/>
      <c r="B37" s="51"/>
      <c r="C37" s="51"/>
      <c r="D37" s="51"/>
      <c r="E37" s="51"/>
      <c r="F37" s="51"/>
      <c r="G37" s="51"/>
      <c r="H37" s="50" t="str">
        <f t="shared" si="1"/>
        <v/>
      </c>
      <c r="I37" s="51" t="str">
        <f t="shared" si="2"/>
        <v/>
      </c>
      <c r="J37" s="51" t="str">
        <f t="shared" si="3"/>
        <v/>
      </c>
      <c r="K37" s="58"/>
      <c r="L37" s="51" t="str">
        <f t="shared" si="4"/>
        <v/>
      </c>
      <c r="M37" s="51" t="str">
        <f t="shared" si="5"/>
        <v/>
      </c>
      <c r="N37" s="57"/>
      <c r="O37" s="51" t="str">
        <f t="shared" si="6"/>
        <v/>
      </c>
      <c r="P37" s="51" t="str">
        <f t="shared" si="7"/>
        <v/>
      </c>
      <c r="Q37" s="57"/>
      <c r="R37" s="51" t="str">
        <f t="shared" si="8"/>
        <v/>
      </c>
      <c r="S37" s="57"/>
      <c r="T37" s="54"/>
      <c r="U37" s="54" t="str">
        <f>IFERROR(__xludf.DUMMYFUNCTION("IF(A37="""","""",IF(AND(REGEXMATCH(T37,""Dimension Report""),REGEXMATCH(T37,""Chemical Analysis Report""),REGEXMATCH(T37,""Drawing Report""),REGEXMATCH(T37,""Costing Report"")),""Done"",""Not Done""))"),"")</f>
        <v/>
      </c>
      <c r="V37" s="56" t="str">
        <f t="shared" si="9"/>
        <v/>
      </c>
      <c r="W37" s="51"/>
    </row>
    <row r="38">
      <c r="A38" s="59"/>
      <c r="B38" s="51"/>
      <c r="C38" s="51"/>
      <c r="D38" s="51"/>
      <c r="E38" s="51"/>
      <c r="F38" s="51"/>
      <c r="G38" s="51"/>
      <c r="H38" s="50" t="str">
        <f t="shared" si="1"/>
        <v/>
      </c>
      <c r="I38" s="51" t="str">
        <f t="shared" si="2"/>
        <v/>
      </c>
      <c r="J38" s="51" t="str">
        <f t="shared" si="3"/>
        <v/>
      </c>
      <c r="K38" s="58"/>
      <c r="L38" s="51" t="str">
        <f t="shared" si="4"/>
        <v/>
      </c>
      <c r="M38" s="51" t="str">
        <f t="shared" si="5"/>
        <v/>
      </c>
      <c r="N38" s="57"/>
      <c r="O38" s="51" t="str">
        <f t="shared" si="6"/>
        <v/>
      </c>
      <c r="P38" s="51" t="str">
        <f t="shared" si="7"/>
        <v/>
      </c>
      <c r="Q38" s="57"/>
      <c r="R38" s="51" t="str">
        <f t="shared" si="8"/>
        <v/>
      </c>
      <c r="S38" s="57"/>
      <c r="T38" s="54"/>
      <c r="U38" s="54" t="str">
        <f>IFERROR(__xludf.DUMMYFUNCTION("IF(A38="""","""",IF(AND(REGEXMATCH(T38,""Dimension Report""),REGEXMATCH(T38,""Chemical Analysis Report""),REGEXMATCH(T38,""Drawing Report""),REGEXMATCH(T38,""Costing Report"")),""Done"",""Not Done""))"),"")</f>
        <v/>
      </c>
      <c r="V38" s="56" t="str">
        <f t="shared" si="9"/>
        <v/>
      </c>
      <c r="W38" s="51"/>
    </row>
    <row r="39">
      <c r="A39" s="59"/>
      <c r="B39" s="51"/>
      <c r="C39" s="51"/>
      <c r="D39" s="51"/>
      <c r="E39" s="51"/>
      <c r="F39" s="51"/>
      <c r="G39" s="51"/>
      <c r="H39" s="50" t="str">
        <f t="shared" si="1"/>
        <v/>
      </c>
      <c r="I39" s="51" t="str">
        <f t="shared" si="2"/>
        <v/>
      </c>
      <c r="J39" s="51" t="str">
        <f t="shared" si="3"/>
        <v/>
      </c>
      <c r="K39" s="58"/>
      <c r="L39" s="51" t="str">
        <f t="shared" si="4"/>
        <v/>
      </c>
      <c r="M39" s="51" t="str">
        <f t="shared" si="5"/>
        <v/>
      </c>
      <c r="N39" s="57"/>
      <c r="O39" s="51" t="str">
        <f t="shared" si="6"/>
        <v/>
      </c>
      <c r="P39" s="51" t="str">
        <f t="shared" si="7"/>
        <v/>
      </c>
      <c r="Q39" s="57"/>
      <c r="R39" s="51" t="str">
        <f t="shared" si="8"/>
        <v/>
      </c>
      <c r="S39" s="57"/>
      <c r="T39" s="54"/>
      <c r="U39" s="54" t="str">
        <f>IFERROR(__xludf.DUMMYFUNCTION("IF(A39="""","""",IF(AND(REGEXMATCH(T39,""Dimension Report""),REGEXMATCH(T39,""Chemical Analysis Report""),REGEXMATCH(T39,""Drawing Report""),REGEXMATCH(T39,""Costing Report"")),""Done"",""Not Done""))"),"")</f>
        <v/>
      </c>
      <c r="V39" s="56" t="str">
        <f t="shared" si="9"/>
        <v/>
      </c>
      <c r="W39" s="51"/>
    </row>
    <row r="40">
      <c r="A40" s="59"/>
      <c r="B40" s="51"/>
      <c r="C40" s="51"/>
      <c r="D40" s="51"/>
      <c r="E40" s="51"/>
      <c r="F40" s="51"/>
      <c r="G40" s="51"/>
      <c r="H40" s="50" t="str">
        <f t="shared" si="1"/>
        <v/>
      </c>
      <c r="I40" s="51" t="str">
        <f t="shared" si="2"/>
        <v/>
      </c>
      <c r="J40" s="51" t="str">
        <f t="shared" si="3"/>
        <v/>
      </c>
      <c r="K40" s="58"/>
      <c r="L40" s="51" t="str">
        <f t="shared" si="4"/>
        <v/>
      </c>
      <c r="M40" s="51" t="str">
        <f t="shared" si="5"/>
        <v/>
      </c>
      <c r="N40" s="57"/>
      <c r="O40" s="51" t="str">
        <f t="shared" si="6"/>
        <v/>
      </c>
      <c r="P40" s="51" t="str">
        <f t="shared" si="7"/>
        <v/>
      </c>
      <c r="Q40" s="57"/>
      <c r="R40" s="51" t="str">
        <f t="shared" si="8"/>
        <v/>
      </c>
      <c r="S40" s="57"/>
      <c r="T40" s="54"/>
      <c r="U40" s="54" t="str">
        <f>IFERROR(__xludf.DUMMYFUNCTION("IF(A40="""","""",IF(AND(REGEXMATCH(T40,""Dimension Report""),REGEXMATCH(T40,""Chemical Analysis Report""),REGEXMATCH(T40,""Drawing Report""),REGEXMATCH(T40,""Costing Report"")),""Done"",""Not Done""))"),"")</f>
        <v/>
      </c>
      <c r="V40" s="56" t="str">
        <f t="shared" si="9"/>
        <v/>
      </c>
      <c r="W40" s="51"/>
    </row>
    <row r="41">
      <c r="A41" s="59"/>
      <c r="B41" s="51"/>
      <c r="C41" s="51"/>
      <c r="D41" s="51"/>
      <c r="E41" s="51"/>
      <c r="F41" s="51"/>
      <c r="G41" s="51"/>
      <c r="H41" s="50" t="str">
        <f t="shared" si="1"/>
        <v/>
      </c>
      <c r="I41" s="51" t="str">
        <f t="shared" si="2"/>
        <v/>
      </c>
      <c r="J41" s="51" t="str">
        <f t="shared" si="3"/>
        <v/>
      </c>
      <c r="K41" s="58"/>
      <c r="L41" s="51" t="str">
        <f t="shared" si="4"/>
        <v/>
      </c>
      <c r="M41" s="51" t="str">
        <f t="shared" si="5"/>
        <v/>
      </c>
      <c r="N41" s="57"/>
      <c r="O41" s="51" t="str">
        <f t="shared" si="6"/>
        <v/>
      </c>
      <c r="P41" s="51" t="str">
        <f t="shared" si="7"/>
        <v/>
      </c>
      <c r="Q41" s="57"/>
      <c r="R41" s="51" t="str">
        <f t="shared" si="8"/>
        <v/>
      </c>
      <c r="S41" s="57"/>
      <c r="T41" s="54"/>
      <c r="U41" s="54" t="str">
        <f>IFERROR(__xludf.DUMMYFUNCTION("IF(A41="""","""",IF(AND(REGEXMATCH(T41,""Dimension Report""),REGEXMATCH(T41,""Chemical Analysis Report""),REGEXMATCH(T41,""Drawing Report""),REGEXMATCH(T41,""Costing Report"")),""Done"",""Not Done""))"),"")</f>
        <v/>
      </c>
      <c r="V41" s="56" t="str">
        <f t="shared" si="9"/>
        <v/>
      </c>
      <c r="W41" s="51"/>
    </row>
    <row r="42">
      <c r="A42" s="59"/>
      <c r="B42" s="51"/>
      <c r="C42" s="51"/>
      <c r="D42" s="51"/>
      <c r="E42" s="51"/>
      <c r="F42" s="51"/>
      <c r="G42" s="51"/>
      <c r="H42" s="50" t="str">
        <f t="shared" si="1"/>
        <v/>
      </c>
      <c r="I42" s="51" t="str">
        <f t="shared" si="2"/>
        <v/>
      </c>
      <c r="J42" s="51" t="str">
        <f t="shared" si="3"/>
        <v/>
      </c>
      <c r="K42" s="58"/>
      <c r="L42" s="51" t="str">
        <f t="shared" si="4"/>
        <v/>
      </c>
      <c r="M42" s="51" t="str">
        <f t="shared" si="5"/>
        <v/>
      </c>
      <c r="N42" s="57"/>
      <c r="O42" s="51" t="str">
        <f t="shared" si="6"/>
        <v/>
      </c>
      <c r="P42" s="51" t="str">
        <f t="shared" si="7"/>
        <v/>
      </c>
      <c r="Q42" s="57"/>
      <c r="R42" s="51" t="str">
        <f t="shared" si="8"/>
        <v/>
      </c>
      <c r="S42" s="57"/>
      <c r="T42" s="54"/>
      <c r="U42" s="54" t="str">
        <f>IFERROR(__xludf.DUMMYFUNCTION("IF(A42="""","""",IF(AND(REGEXMATCH(T42,""Dimension Report""),REGEXMATCH(T42,""Chemical Analysis Report""),REGEXMATCH(T42,""Drawing Report""),REGEXMATCH(T42,""Costing Report"")),""Done"",""Not Done""))"),"")</f>
        <v/>
      </c>
      <c r="V42" s="56" t="str">
        <f t="shared" si="9"/>
        <v/>
      </c>
      <c r="W42" s="51"/>
    </row>
    <row r="43">
      <c r="A43" s="59"/>
      <c r="B43" s="51"/>
      <c r="C43" s="51"/>
      <c r="D43" s="51"/>
      <c r="E43" s="51"/>
      <c r="F43" s="51"/>
      <c r="G43" s="51"/>
      <c r="H43" s="50" t="str">
        <f t="shared" si="1"/>
        <v/>
      </c>
      <c r="I43" s="51" t="str">
        <f t="shared" si="2"/>
        <v/>
      </c>
      <c r="J43" s="51" t="str">
        <f t="shared" si="3"/>
        <v/>
      </c>
      <c r="K43" s="58"/>
      <c r="L43" s="51" t="str">
        <f t="shared" si="4"/>
        <v/>
      </c>
      <c r="M43" s="51" t="str">
        <f t="shared" si="5"/>
        <v/>
      </c>
      <c r="N43" s="57"/>
      <c r="O43" s="51" t="str">
        <f t="shared" si="6"/>
        <v/>
      </c>
      <c r="P43" s="51" t="str">
        <f t="shared" si="7"/>
        <v/>
      </c>
      <c r="Q43" s="57"/>
      <c r="R43" s="51" t="str">
        <f t="shared" si="8"/>
        <v/>
      </c>
      <c r="S43" s="57"/>
      <c r="T43" s="54"/>
      <c r="U43" s="54" t="str">
        <f>IFERROR(__xludf.DUMMYFUNCTION("IF(A43="""","""",IF(AND(REGEXMATCH(T43,""Dimension Report""),REGEXMATCH(T43,""Chemical Analysis Report""),REGEXMATCH(T43,""Drawing Report""),REGEXMATCH(T43,""Costing Report"")),""Done"",""Not Done""))"),"")</f>
        <v/>
      </c>
      <c r="V43" s="56" t="str">
        <f t="shared" si="9"/>
        <v/>
      </c>
      <c r="W43" s="51"/>
    </row>
    <row r="44">
      <c r="A44" s="59"/>
      <c r="B44" s="51"/>
      <c r="C44" s="51"/>
      <c r="D44" s="51"/>
      <c r="E44" s="51"/>
      <c r="F44" s="51"/>
      <c r="G44" s="51"/>
      <c r="H44" s="50" t="str">
        <f t="shared" si="1"/>
        <v/>
      </c>
      <c r="I44" s="51" t="str">
        <f t="shared" si="2"/>
        <v/>
      </c>
      <c r="J44" s="51" t="str">
        <f t="shared" si="3"/>
        <v/>
      </c>
      <c r="K44" s="58"/>
      <c r="L44" s="51" t="str">
        <f t="shared" si="4"/>
        <v/>
      </c>
      <c r="M44" s="51" t="str">
        <f t="shared" si="5"/>
        <v/>
      </c>
      <c r="N44" s="57"/>
      <c r="O44" s="51" t="str">
        <f t="shared" si="6"/>
        <v/>
      </c>
      <c r="P44" s="51" t="str">
        <f t="shared" si="7"/>
        <v/>
      </c>
      <c r="Q44" s="57"/>
      <c r="R44" s="51" t="str">
        <f t="shared" si="8"/>
        <v/>
      </c>
      <c r="S44" s="57"/>
      <c r="T44" s="54"/>
      <c r="U44" s="54" t="str">
        <f>IFERROR(__xludf.DUMMYFUNCTION("IF(A44="""","""",IF(AND(REGEXMATCH(T44,""Dimension Report""),REGEXMATCH(T44,""Chemical Analysis Report""),REGEXMATCH(T44,""Drawing Report""),REGEXMATCH(T44,""Costing Report"")),""Done"",""Not Done""))"),"")</f>
        <v/>
      </c>
      <c r="V44" s="56" t="str">
        <f t="shared" si="9"/>
        <v/>
      </c>
      <c r="W44" s="51"/>
    </row>
    <row r="45">
      <c r="A45" s="59"/>
      <c r="B45" s="51"/>
      <c r="C45" s="51"/>
      <c r="D45" s="51"/>
      <c r="E45" s="51"/>
      <c r="F45" s="51"/>
      <c r="G45" s="51"/>
      <c r="H45" s="50" t="str">
        <f t="shared" si="1"/>
        <v/>
      </c>
      <c r="I45" s="51" t="str">
        <f t="shared" si="2"/>
        <v/>
      </c>
      <c r="J45" s="51" t="str">
        <f t="shared" si="3"/>
        <v/>
      </c>
      <c r="K45" s="58"/>
      <c r="L45" s="51" t="str">
        <f t="shared" si="4"/>
        <v/>
      </c>
      <c r="M45" s="51" t="str">
        <f t="shared" si="5"/>
        <v/>
      </c>
      <c r="N45" s="57"/>
      <c r="O45" s="51" t="str">
        <f t="shared" si="6"/>
        <v/>
      </c>
      <c r="P45" s="51" t="str">
        <f t="shared" si="7"/>
        <v/>
      </c>
      <c r="Q45" s="57"/>
      <c r="R45" s="51" t="str">
        <f t="shared" si="8"/>
        <v/>
      </c>
      <c r="S45" s="57"/>
      <c r="T45" s="54"/>
      <c r="U45" s="54" t="str">
        <f>IFERROR(__xludf.DUMMYFUNCTION("IF(A45="""","""",IF(AND(REGEXMATCH(T45,""Dimension Report""),REGEXMATCH(T45,""Chemical Analysis Report""),REGEXMATCH(T45,""Drawing Report""),REGEXMATCH(T45,""Costing Report"")),""Done"",""Not Done""))"),"")</f>
        <v/>
      </c>
      <c r="V45" s="56" t="str">
        <f t="shared" si="9"/>
        <v/>
      </c>
      <c r="W45" s="51"/>
    </row>
    <row r="46">
      <c r="A46" s="59"/>
      <c r="B46" s="51"/>
      <c r="C46" s="51"/>
      <c r="D46" s="51"/>
      <c r="E46" s="51"/>
      <c r="F46" s="51"/>
      <c r="G46" s="51"/>
      <c r="H46" s="50" t="str">
        <f t="shared" si="1"/>
        <v/>
      </c>
      <c r="I46" s="51" t="str">
        <f t="shared" si="2"/>
        <v/>
      </c>
      <c r="J46" s="51" t="str">
        <f t="shared" si="3"/>
        <v/>
      </c>
      <c r="K46" s="58"/>
      <c r="L46" s="51" t="str">
        <f t="shared" si="4"/>
        <v/>
      </c>
      <c r="M46" s="51" t="str">
        <f t="shared" si="5"/>
        <v/>
      </c>
      <c r="N46" s="57"/>
      <c r="O46" s="51" t="str">
        <f t="shared" si="6"/>
        <v/>
      </c>
      <c r="P46" s="51" t="str">
        <f t="shared" si="7"/>
        <v/>
      </c>
      <c r="Q46" s="57"/>
      <c r="R46" s="51" t="str">
        <f t="shared" si="8"/>
        <v/>
      </c>
      <c r="S46" s="57"/>
      <c r="T46" s="54"/>
      <c r="U46" s="54" t="str">
        <f>IFERROR(__xludf.DUMMYFUNCTION("IF(A46="""","""",IF(AND(REGEXMATCH(T46,""Dimension Report""),REGEXMATCH(T46,""Chemical Analysis Report""),REGEXMATCH(T46,""Drawing Report""),REGEXMATCH(T46,""Costing Report"")),""Done"",""Not Done""))"),"")</f>
        <v/>
      </c>
      <c r="V46" s="56" t="str">
        <f t="shared" si="9"/>
        <v/>
      </c>
      <c r="W46" s="51"/>
    </row>
    <row r="47">
      <c r="A47" s="59"/>
      <c r="B47" s="51"/>
      <c r="C47" s="51"/>
      <c r="D47" s="51"/>
      <c r="E47" s="51"/>
      <c r="F47" s="51"/>
      <c r="G47" s="51"/>
      <c r="H47" s="50" t="str">
        <f t="shared" si="1"/>
        <v/>
      </c>
      <c r="I47" s="51" t="str">
        <f t="shared" si="2"/>
        <v/>
      </c>
      <c r="J47" s="51" t="str">
        <f t="shared" si="3"/>
        <v/>
      </c>
      <c r="K47" s="58"/>
      <c r="L47" s="51" t="str">
        <f t="shared" si="4"/>
        <v/>
      </c>
      <c r="M47" s="51" t="str">
        <f t="shared" si="5"/>
        <v/>
      </c>
      <c r="N47" s="57"/>
      <c r="O47" s="51" t="str">
        <f t="shared" si="6"/>
        <v/>
      </c>
      <c r="P47" s="51" t="str">
        <f t="shared" si="7"/>
        <v/>
      </c>
      <c r="Q47" s="57"/>
      <c r="R47" s="51" t="str">
        <f t="shared" si="8"/>
        <v/>
      </c>
      <c r="S47" s="57"/>
      <c r="T47" s="54"/>
      <c r="U47" s="54" t="str">
        <f>IFERROR(__xludf.DUMMYFUNCTION("IF(A47="""","""",IF(AND(REGEXMATCH(T47,""Dimension Report""),REGEXMATCH(T47,""Chemical Analysis Report""),REGEXMATCH(T47,""Drawing Report""),REGEXMATCH(T47,""Costing Report"")),""Done"",""Not Done""))"),"")</f>
        <v/>
      </c>
      <c r="V47" s="56" t="str">
        <f t="shared" si="9"/>
        <v/>
      </c>
      <c r="W47" s="51"/>
    </row>
    <row r="48">
      <c r="A48" s="59"/>
      <c r="B48" s="51"/>
      <c r="C48" s="51"/>
      <c r="D48" s="51"/>
      <c r="E48" s="51"/>
      <c r="F48" s="51"/>
      <c r="G48" s="51"/>
      <c r="H48" s="50" t="str">
        <f t="shared" si="1"/>
        <v/>
      </c>
      <c r="I48" s="51" t="str">
        <f t="shared" si="2"/>
        <v/>
      </c>
      <c r="J48" s="51" t="str">
        <f t="shared" si="3"/>
        <v/>
      </c>
      <c r="K48" s="58"/>
      <c r="L48" s="51" t="str">
        <f t="shared" si="4"/>
        <v/>
      </c>
      <c r="M48" s="51" t="str">
        <f t="shared" si="5"/>
        <v/>
      </c>
      <c r="N48" s="57"/>
      <c r="O48" s="51" t="str">
        <f t="shared" si="6"/>
        <v/>
      </c>
      <c r="P48" s="51" t="str">
        <f t="shared" si="7"/>
        <v/>
      </c>
      <c r="Q48" s="57"/>
      <c r="R48" s="51" t="str">
        <f t="shared" si="8"/>
        <v/>
      </c>
      <c r="S48" s="57"/>
      <c r="T48" s="54"/>
      <c r="U48" s="54" t="str">
        <f>IFERROR(__xludf.DUMMYFUNCTION("IF(A48="""","""",IF(AND(REGEXMATCH(T48,""Dimension Report""),REGEXMATCH(T48,""Chemical Analysis Report""),REGEXMATCH(T48,""Drawing Report""),REGEXMATCH(T48,""Costing Report"")),""Done"",""Not Done""))"),"")</f>
        <v/>
      </c>
      <c r="V48" s="56" t="str">
        <f t="shared" si="9"/>
        <v/>
      </c>
      <c r="W48" s="51"/>
    </row>
    <row r="49">
      <c r="A49" s="59"/>
      <c r="B49" s="51"/>
      <c r="C49" s="51"/>
      <c r="D49" s="51"/>
      <c r="E49" s="51"/>
      <c r="F49" s="51"/>
      <c r="G49" s="51"/>
      <c r="H49" s="50" t="str">
        <f t="shared" si="1"/>
        <v/>
      </c>
      <c r="I49" s="51" t="str">
        <f t="shared" si="2"/>
        <v/>
      </c>
      <c r="J49" s="51" t="str">
        <f t="shared" si="3"/>
        <v/>
      </c>
      <c r="K49" s="58"/>
      <c r="L49" s="51" t="str">
        <f t="shared" si="4"/>
        <v/>
      </c>
      <c r="M49" s="51" t="str">
        <f t="shared" si="5"/>
        <v/>
      </c>
      <c r="N49" s="57"/>
      <c r="O49" s="51" t="str">
        <f t="shared" si="6"/>
        <v/>
      </c>
      <c r="P49" s="51" t="str">
        <f t="shared" si="7"/>
        <v/>
      </c>
      <c r="Q49" s="57"/>
      <c r="R49" s="51" t="str">
        <f t="shared" si="8"/>
        <v/>
      </c>
      <c r="S49" s="57"/>
      <c r="T49" s="54"/>
      <c r="U49" s="54" t="str">
        <f>IFERROR(__xludf.DUMMYFUNCTION("IF(A49="""","""",IF(AND(REGEXMATCH(T49,""Dimension Report""),REGEXMATCH(T49,""Chemical Analysis Report""),REGEXMATCH(T49,""Drawing Report""),REGEXMATCH(T49,""Costing Report"")),""Done"",""Not Done""))"),"")</f>
        <v/>
      </c>
      <c r="V49" s="56" t="str">
        <f t="shared" si="9"/>
        <v/>
      </c>
      <c r="W49" s="51"/>
    </row>
    <row r="50">
      <c r="A50" s="59"/>
      <c r="B50" s="51"/>
      <c r="C50" s="51"/>
      <c r="D50" s="51"/>
      <c r="E50" s="51"/>
      <c r="F50" s="51"/>
      <c r="G50" s="51"/>
      <c r="H50" s="50" t="str">
        <f t="shared" si="1"/>
        <v/>
      </c>
      <c r="I50" s="51" t="str">
        <f t="shared" si="2"/>
        <v/>
      </c>
      <c r="J50" s="51" t="str">
        <f t="shared" si="3"/>
        <v/>
      </c>
      <c r="K50" s="58"/>
      <c r="L50" s="51" t="str">
        <f t="shared" si="4"/>
        <v/>
      </c>
      <c r="M50" s="51" t="str">
        <f t="shared" si="5"/>
        <v/>
      </c>
      <c r="N50" s="57"/>
      <c r="O50" s="51" t="str">
        <f t="shared" si="6"/>
        <v/>
      </c>
      <c r="P50" s="51" t="str">
        <f t="shared" si="7"/>
        <v/>
      </c>
      <c r="Q50" s="57"/>
      <c r="R50" s="51" t="str">
        <f t="shared" si="8"/>
        <v/>
      </c>
      <c r="S50" s="57"/>
      <c r="T50" s="54"/>
      <c r="U50" s="54" t="str">
        <f>IFERROR(__xludf.DUMMYFUNCTION("IF(A50="""","""",IF(AND(REGEXMATCH(T50,""Dimension Report""),REGEXMATCH(T50,""Chemical Analysis Report""),REGEXMATCH(T50,""Drawing Report""),REGEXMATCH(T50,""Costing Report"")),""Done"",""Not Done""))"),"")</f>
        <v/>
      </c>
      <c r="V50" s="56" t="str">
        <f t="shared" si="9"/>
        <v/>
      </c>
      <c r="W50" s="51"/>
    </row>
    <row r="51">
      <c r="A51" s="59"/>
      <c r="B51" s="51"/>
      <c r="C51" s="51"/>
      <c r="D51" s="51"/>
      <c r="E51" s="51"/>
      <c r="F51" s="51"/>
      <c r="G51" s="51"/>
      <c r="H51" s="50" t="str">
        <f t="shared" si="1"/>
        <v/>
      </c>
      <c r="I51" s="51" t="str">
        <f t="shared" si="2"/>
        <v/>
      </c>
      <c r="J51" s="51" t="str">
        <f t="shared" si="3"/>
        <v/>
      </c>
      <c r="K51" s="58"/>
      <c r="L51" s="51" t="str">
        <f t="shared" si="4"/>
        <v/>
      </c>
      <c r="M51" s="51" t="str">
        <f t="shared" si="5"/>
        <v/>
      </c>
      <c r="N51" s="57"/>
      <c r="O51" s="51" t="str">
        <f t="shared" si="6"/>
        <v/>
      </c>
      <c r="P51" s="51" t="str">
        <f t="shared" si="7"/>
        <v/>
      </c>
      <c r="Q51" s="57"/>
      <c r="R51" s="51" t="str">
        <f t="shared" si="8"/>
        <v/>
      </c>
      <c r="S51" s="57"/>
      <c r="T51" s="54"/>
      <c r="U51" s="54" t="str">
        <f>IFERROR(__xludf.DUMMYFUNCTION("IF(A51="""","""",IF(AND(REGEXMATCH(T51,""Dimension Report""),REGEXMATCH(T51,""Chemical Analysis Report""),REGEXMATCH(T51,""Drawing Report""),REGEXMATCH(T51,""Costing Report"")),""Done"",""Not Done""))"),"")</f>
        <v/>
      </c>
      <c r="V51" s="56" t="str">
        <f t="shared" si="9"/>
        <v/>
      </c>
      <c r="W51" s="51"/>
    </row>
    <row r="52">
      <c r="A52" s="59"/>
      <c r="B52" s="51"/>
      <c r="C52" s="51"/>
      <c r="D52" s="51"/>
      <c r="E52" s="51"/>
      <c r="F52" s="51"/>
      <c r="G52" s="51"/>
      <c r="H52" s="50" t="str">
        <f t="shared" si="1"/>
        <v/>
      </c>
      <c r="I52" s="51" t="str">
        <f t="shared" si="2"/>
        <v/>
      </c>
      <c r="J52" s="51" t="str">
        <f t="shared" si="3"/>
        <v/>
      </c>
      <c r="K52" s="58"/>
      <c r="L52" s="51" t="str">
        <f t="shared" si="4"/>
        <v/>
      </c>
      <c r="M52" s="51" t="str">
        <f t="shared" si="5"/>
        <v/>
      </c>
      <c r="N52" s="57"/>
      <c r="O52" s="51" t="str">
        <f t="shared" si="6"/>
        <v/>
      </c>
      <c r="P52" s="51" t="str">
        <f t="shared" si="7"/>
        <v/>
      </c>
      <c r="Q52" s="57"/>
      <c r="R52" s="51" t="str">
        <f t="shared" si="8"/>
        <v/>
      </c>
      <c r="S52" s="57"/>
      <c r="T52" s="54"/>
      <c r="U52" s="54" t="str">
        <f>IFERROR(__xludf.DUMMYFUNCTION("IF(A52="""","""",IF(AND(REGEXMATCH(T52,""Dimension Report""),REGEXMATCH(T52,""Chemical Analysis Report""),REGEXMATCH(T52,""Drawing Report""),REGEXMATCH(T52,""Costing Report"")),""Done"",""Not Done""))"),"")</f>
        <v/>
      </c>
      <c r="V52" s="56" t="str">
        <f t="shared" si="9"/>
        <v/>
      </c>
      <c r="W52" s="51"/>
    </row>
    <row r="53">
      <c r="A53" s="59"/>
      <c r="B53" s="51"/>
      <c r="C53" s="51"/>
      <c r="D53" s="51"/>
      <c r="E53" s="51"/>
      <c r="F53" s="51"/>
      <c r="G53" s="51"/>
      <c r="H53" s="50" t="str">
        <f t="shared" si="1"/>
        <v/>
      </c>
      <c r="I53" s="51" t="str">
        <f t="shared" si="2"/>
        <v/>
      </c>
      <c r="J53" s="51" t="str">
        <f t="shared" si="3"/>
        <v/>
      </c>
      <c r="K53" s="58"/>
      <c r="L53" s="51" t="str">
        <f t="shared" si="4"/>
        <v/>
      </c>
      <c r="M53" s="51" t="str">
        <f t="shared" si="5"/>
        <v/>
      </c>
      <c r="N53" s="57"/>
      <c r="O53" s="51" t="str">
        <f t="shared" si="6"/>
        <v/>
      </c>
      <c r="P53" s="51" t="str">
        <f t="shared" si="7"/>
        <v/>
      </c>
      <c r="Q53" s="57"/>
      <c r="R53" s="51" t="str">
        <f t="shared" si="8"/>
        <v/>
      </c>
      <c r="S53" s="57"/>
      <c r="T53" s="54"/>
      <c r="U53" s="54" t="str">
        <f>IFERROR(__xludf.DUMMYFUNCTION("IF(A53="""","""",IF(AND(REGEXMATCH(T53,""Dimension Report""),REGEXMATCH(T53,""Chemical Analysis Report""),REGEXMATCH(T53,""Drawing Report""),REGEXMATCH(T53,""Costing Report"")),""Done"",""Not Done""))"),"")</f>
        <v/>
      </c>
      <c r="V53" s="56" t="str">
        <f t="shared" si="9"/>
        <v/>
      </c>
      <c r="W53" s="51"/>
    </row>
    <row r="54">
      <c r="A54" s="59"/>
      <c r="B54" s="51"/>
      <c r="C54" s="51"/>
      <c r="D54" s="51"/>
      <c r="E54" s="51"/>
      <c r="F54" s="51"/>
      <c r="G54" s="51"/>
      <c r="H54" s="50" t="str">
        <f t="shared" si="1"/>
        <v/>
      </c>
      <c r="I54" s="51" t="str">
        <f t="shared" si="2"/>
        <v/>
      </c>
      <c r="J54" s="51" t="str">
        <f t="shared" si="3"/>
        <v/>
      </c>
      <c r="K54" s="58"/>
      <c r="L54" s="51" t="str">
        <f t="shared" si="4"/>
        <v/>
      </c>
      <c r="M54" s="51" t="str">
        <f t="shared" si="5"/>
        <v/>
      </c>
      <c r="N54" s="57"/>
      <c r="O54" s="51" t="str">
        <f t="shared" si="6"/>
        <v/>
      </c>
      <c r="P54" s="51" t="str">
        <f t="shared" si="7"/>
        <v/>
      </c>
      <c r="Q54" s="57"/>
      <c r="R54" s="51" t="str">
        <f t="shared" si="8"/>
        <v/>
      </c>
      <c r="S54" s="57"/>
      <c r="T54" s="54"/>
      <c r="U54" s="54" t="str">
        <f>IFERROR(__xludf.DUMMYFUNCTION("IF(A54="""","""",IF(AND(REGEXMATCH(T54,""Dimension Report""),REGEXMATCH(T54,""Chemical Analysis Report""),REGEXMATCH(T54,""Drawing Report""),REGEXMATCH(T54,""Costing Report"")),""Done"",""Not Done""))"),"")</f>
        <v/>
      </c>
      <c r="V54" s="56" t="str">
        <f t="shared" si="9"/>
        <v/>
      </c>
      <c r="W54" s="51"/>
    </row>
    <row r="55">
      <c r="A55" s="59"/>
      <c r="B55" s="51"/>
      <c r="C55" s="51"/>
      <c r="D55" s="51"/>
      <c r="E55" s="51"/>
      <c r="F55" s="51"/>
      <c r="G55" s="51"/>
      <c r="H55" s="50" t="str">
        <f t="shared" si="1"/>
        <v/>
      </c>
      <c r="I55" s="51" t="str">
        <f t="shared" si="2"/>
        <v/>
      </c>
      <c r="J55" s="51" t="str">
        <f t="shared" si="3"/>
        <v/>
      </c>
      <c r="K55" s="58"/>
      <c r="L55" s="51" t="str">
        <f t="shared" si="4"/>
        <v/>
      </c>
      <c r="M55" s="51" t="str">
        <f t="shared" si="5"/>
        <v/>
      </c>
      <c r="N55" s="57"/>
      <c r="O55" s="51" t="str">
        <f t="shared" si="6"/>
        <v/>
      </c>
      <c r="P55" s="51" t="str">
        <f t="shared" si="7"/>
        <v/>
      </c>
      <c r="Q55" s="57"/>
      <c r="R55" s="51" t="str">
        <f t="shared" si="8"/>
        <v/>
      </c>
      <c r="S55" s="57"/>
      <c r="T55" s="54"/>
      <c r="U55" s="54" t="str">
        <f>IFERROR(__xludf.DUMMYFUNCTION("IF(A55="""","""",IF(AND(REGEXMATCH(T55,""Dimension Report""),REGEXMATCH(T55,""Chemical Analysis Report""),REGEXMATCH(T55,""Drawing Report""),REGEXMATCH(T55,""Costing Report"")),""Done"",""Not Done""))"),"")</f>
        <v/>
      </c>
      <c r="V55" s="56" t="str">
        <f t="shared" si="9"/>
        <v/>
      </c>
      <c r="W55" s="51"/>
    </row>
    <row r="56">
      <c r="A56" s="59"/>
      <c r="B56" s="51"/>
      <c r="C56" s="51"/>
      <c r="D56" s="51"/>
      <c r="E56" s="51"/>
      <c r="F56" s="51"/>
      <c r="G56" s="51"/>
      <c r="H56" s="50" t="str">
        <f t="shared" si="1"/>
        <v/>
      </c>
      <c r="I56" s="51" t="str">
        <f t="shared" si="2"/>
        <v/>
      </c>
      <c r="J56" s="51" t="str">
        <f t="shared" si="3"/>
        <v/>
      </c>
      <c r="K56" s="58"/>
      <c r="L56" s="51" t="str">
        <f t="shared" si="4"/>
        <v/>
      </c>
      <c r="M56" s="51" t="str">
        <f t="shared" si="5"/>
        <v/>
      </c>
      <c r="N56" s="57"/>
      <c r="O56" s="51" t="str">
        <f t="shared" si="6"/>
        <v/>
      </c>
      <c r="P56" s="51" t="str">
        <f t="shared" si="7"/>
        <v/>
      </c>
      <c r="Q56" s="57"/>
      <c r="R56" s="51" t="str">
        <f t="shared" si="8"/>
        <v/>
      </c>
      <c r="S56" s="57"/>
      <c r="T56" s="54"/>
      <c r="U56" s="54" t="str">
        <f>IFERROR(__xludf.DUMMYFUNCTION("IF(A56="""","""",IF(AND(REGEXMATCH(T56,""Dimension Report""),REGEXMATCH(T56,""Chemical Analysis Report""),REGEXMATCH(T56,""Drawing Report""),REGEXMATCH(T56,""Costing Report"")),""Done"",""Not Done""))"),"")</f>
        <v/>
      </c>
      <c r="V56" s="56" t="str">
        <f t="shared" si="9"/>
        <v/>
      </c>
      <c r="W56" s="51"/>
    </row>
    <row r="57">
      <c r="A57" s="59"/>
      <c r="B57" s="51"/>
      <c r="C57" s="51"/>
      <c r="D57" s="51"/>
      <c r="E57" s="51"/>
      <c r="F57" s="51"/>
      <c r="G57" s="51"/>
      <c r="H57" s="50" t="str">
        <f t="shared" si="1"/>
        <v/>
      </c>
      <c r="I57" s="51" t="str">
        <f t="shared" si="2"/>
        <v/>
      </c>
      <c r="J57" s="51" t="str">
        <f t="shared" si="3"/>
        <v/>
      </c>
      <c r="K57" s="58"/>
      <c r="L57" s="51" t="str">
        <f t="shared" si="4"/>
        <v/>
      </c>
      <c r="M57" s="51" t="str">
        <f t="shared" si="5"/>
        <v/>
      </c>
      <c r="N57" s="57"/>
      <c r="O57" s="51" t="str">
        <f t="shared" si="6"/>
        <v/>
      </c>
      <c r="P57" s="51" t="str">
        <f t="shared" si="7"/>
        <v/>
      </c>
      <c r="Q57" s="57"/>
      <c r="R57" s="51" t="str">
        <f t="shared" si="8"/>
        <v/>
      </c>
      <c r="S57" s="57"/>
      <c r="T57" s="54"/>
      <c r="U57" s="54" t="str">
        <f>IFERROR(__xludf.DUMMYFUNCTION("IF(A57="""","""",IF(AND(REGEXMATCH(T57,""Dimension Report""),REGEXMATCH(T57,""Chemical Analysis Report""),REGEXMATCH(T57,""Drawing Report""),REGEXMATCH(T57,""Costing Report"")),""Done"",""Not Done""))"),"")</f>
        <v/>
      </c>
      <c r="V57" s="56" t="str">
        <f t="shared" si="9"/>
        <v/>
      </c>
      <c r="W57" s="51"/>
    </row>
    <row r="58">
      <c r="A58" s="59"/>
      <c r="B58" s="51"/>
      <c r="C58" s="51"/>
      <c r="D58" s="51"/>
      <c r="E58" s="51"/>
      <c r="F58" s="51"/>
      <c r="G58" s="51"/>
      <c r="H58" s="50" t="str">
        <f t="shared" si="1"/>
        <v/>
      </c>
      <c r="I58" s="51" t="str">
        <f t="shared" si="2"/>
        <v/>
      </c>
      <c r="J58" s="51" t="str">
        <f t="shared" si="3"/>
        <v/>
      </c>
      <c r="K58" s="58"/>
      <c r="L58" s="51" t="str">
        <f t="shared" si="4"/>
        <v/>
      </c>
      <c r="M58" s="51" t="str">
        <f t="shared" si="5"/>
        <v/>
      </c>
      <c r="N58" s="57"/>
      <c r="O58" s="51" t="str">
        <f t="shared" si="6"/>
        <v/>
      </c>
      <c r="P58" s="51" t="str">
        <f t="shared" si="7"/>
        <v/>
      </c>
      <c r="Q58" s="57"/>
      <c r="R58" s="51" t="str">
        <f t="shared" si="8"/>
        <v/>
      </c>
      <c r="S58" s="57"/>
      <c r="T58" s="54"/>
      <c r="U58" s="54" t="str">
        <f>IFERROR(__xludf.DUMMYFUNCTION("IF(A58="""","""",IF(AND(REGEXMATCH(T58,""Dimension Report""),REGEXMATCH(T58,""Chemical Analysis Report""),REGEXMATCH(T58,""Drawing Report""),REGEXMATCH(T58,""Costing Report"")),""Done"",""Not Done""))"),"")</f>
        <v/>
      </c>
      <c r="V58" s="56" t="str">
        <f t="shared" si="9"/>
        <v/>
      </c>
      <c r="W58" s="51"/>
    </row>
    <row r="59">
      <c r="A59" s="59"/>
      <c r="B59" s="51"/>
      <c r="C59" s="51"/>
      <c r="D59" s="51"/>
      <c r="E59" s="51"/>
      <c r="F59" s="51"/>
      <c r="G59" s="51"/>
      <c r="H59" s="50" t="str">
        <f t="shared" si="1"/>
        <v/>
      </c>
      <c r="I59" s="51" t="str">
        <f t="shared" si="2"/>
        <v/>
      </c>
      <c r="J59" s="51" t="str">
        <f t="shared" si="3"/>
        <v/>
      </c>
      <c r="K59" s="58"/>
      <c r="L59" s="51" t="str">
        <f t="shared" si="4"/>
        <v/>
      </c>
      <c r="M59" s="51" t="str">
        <f t="shared" si="5"/>
        <v/>
      </c>
      <c r="N59" s="57"/>
      <c r="O59" s="51" t="str">
        <f t="shared" si="6"/>
        <v/>
      </c>
      <c r="P59" s="51" t="str">
        <f t="shared" si="7"/>
        <v/>
      </c>
      <c r="Q59" s="57"/>
      <c r="R59" s="51" t="str">
        <f t="shared" si="8"/>
        <v/>
      </c>
      <c r="S59" s="57"/>
      <c r="T59" s="54"/>
      <c r="U59" s="54" t="str">
        <f>IFERROR(__xludf.DUMMYFUNCTION("IF(A59="""","""",IF(AND(REGEXMATCH(T59,""Dimension Report""),REGEXMATCH(T59,""Chemical Analysis Report""),REGEXMATCH(T59,""Drawing Report""),REGEXMATCH(T59,""Costing Report"")),""Done"",""Not Done""))"),"")</f>
        <v/>
      </c>
      <c r="V59" s="56" t="str">
        <f t="shared" si="9"/>
        <v/>
      </c>
      <c r="W59" s="51"/>
    </row>
    <row r="60">
      <c r="A60" s="59"/>
      <c r="B60" s="51"/>
      <c r="C60" s="51"/>
      <c r="D60" s="51"/>
      <c r="E60" s="51"/>
      <c r="F60" s="51"/>
      <c r="G60" s="51"/>
      <c r="H60" s="50" t="str">
        <f t="shared" si="1"/>
        <v/>
      </c>
      <c r="I60" s="51" t="str">
        <f t="shared" si="2"/>
        <v/>
      </c>
      <c r="J60" s="51" t="str">
        <f t="shared" si="3"/>
        <v/>
      </c>
      <c r="K60" s="58"/>
      <c r="L60" s="51" t="str">
        <f t="shared" si="4"/>
        <v/>
      </c>
      <c r="M60" s="51" t="str">
        <f t="shared" si="5"/>
        <v/>
      </c>
      <c r="N60" s="57"/>
      <c r="O60" s="51" t="str">
        <f t="shared" si="6"/>
        <v/>
      </c>
      <c r="P60" s="51" t="str">
        <f t="shared" si="7"/>
        <v/>
      </c>
      <c r="Q60" s="57"/>
      <c r="R60" s="51" t="str">
        <f t="shared" si="8"/>
        <v/>
      </c>
      <c r="S60" s="57"/>
      <c r="T60" s="54"/>
      <c r="U60" s="54" t="str">
        <f>IFERROR(__xludf.DUMMYFUNCTION("IF(A60="""","""",IF(AND(REGEXMATCH(T60,""Dimension Report""),REGEXMATCH(T60,""Chemical Analysis Report""),REGEXMATCH(T60,""Drawing Report""),REGEXMATCH(T60,""Costing Report"")),""Done"",""Not Done""))"),"")</f>
        <v/>
      </c>
      <c r="V60" s="56" t="str">
        <f t="shared" si="9"/>
        <v/>
      </c>
      <c r="W60" s="51"/>
    </row>
    <row r="61">
      <c r="A61" s="59"/>
      <c r="B61" s="51"/>
      <c r="C61" s="51"/>
      <c r="D61" s="51"/>
      <c r="E61" s="51"/>
      <c r="F61" s="51"/>
      <c r="G61" s="51"/>
      <c r="H61" s="50" t="str">
        <f t="shared" si="1"/>
        <v/>
      </c>
      <c r="I61" s="51" t="str">
        <f t="shared" si="2"/>
        <v/>
      </c>
      <c r="J61" s="51" t="str">
        <f t="shared" si="3"/>
        <v/>
      </c>
      <c r="K61" s="58"/>
      <c r="L61" s="51" t="str">
        <f t="shared" si="4"/>
        <v/>
      </c>
      <c r="M61" s="51" t="str">
        <f t="shared" si="5"/>
        <v/>
      </c>
      <c r="N61" s="57"/>
      <c r="O61" s="51" t="str">
        <f t="shared" si="6"/>
        <v/>
      </c>
      <c r="P61" s="51" t="str">
        <f t="shared" si="7"/>
        <v/>
      </c>
      <c r="Q61" s="57"/>
      <c r="R61" s="51" t="str">
        <f t="shared" si="8"/>
        <v/>
      </c>
      <c r="S61" s="57"/>
      <c r="T61" s="54"/>
      <c r="U61" s="54" t="str">
        <f>IFERROR(__xludf.DUMMYFUNCTION("IF(A61="""","""",IF(AND(REGEXMATCH(T61,""Dimension Report""),REGEXMATCH(T61,""Chemical Analysis Report""),REGEXMATCH(T61,""Drawing Report""),REGEXMATCH(T61,""Costing Report"")),""Done"",""Not Done""))"),"")</f>
        <v/>
      </c>
      <c r="V61" s="56" t="str">
        <f t="shared" si="9"/>
        <v/>
      </c>
      <c r="W61" s="51"/>
    </row>
    <row r="62">
      <c r="A62" s="59"/>
      <c r="B62" s="51"/>
      <c r="C62" s="51"/>
      <c r="D62" s="51"/>
      <c r="E62" s="51"/>
      <c r="F62" s="51"/>
      <c r="G62" s="51"/>
      <c r="H62" s="50" t="str">
        <f t="shared" si="1"/>
        <v/>
      </c>
      <c r="I62" s="51" t="str">
        <f t="shared" si="2"/>
        <v/>
      </c>
      <c r="J62" s="51" t="str">
        <f t="shared" si="3"/>
        <v/>
      </c>
      <c r="K62" s="58"/>
      <c r="L62" s="51" t="str">
        <f t="shared" si="4"/>
        <v/>
      </c>
      <c r="M62" s="51" t="str">
        <f t="shared" si="5"/>
        <v/>
      </c>
      <c r="N62" s="57"/>
      <c r="O62" s="51" t="str">
        <f t="shared" si="6"/>
        <v/>
      </c>
      <c r="P62" s="51" t="str">
        <f t="shared" si="7"/>
        <v/>
      </c>
      <c r="Q62" s="57"/>
      <c r="R62" s="51" t="str">
        <f t="shared" si="8"/>
        <v/>
      </c>
      <c r="S62" s="57"/>
      <c r="T62" s="54"/>
      <c r="U62" s="54" t="str">
        <f>IFERROR(__xludf.DUMMYFUNCTION("IF(A62="""","""",IF(AND(REGEXMATCH(T62,""Dimension Report""),REGEXMATCH(T62,""Chemical Analysis Report""),REGEXMATCH(T62,""Drawing Report""),REGEXMATCH(T62,""Costing Report"")),""Done"",""Not Done""))"),"")</f>
        <v/>
      </c>
      <c r="V62" s="56" t="str">
        <f t="shared" si="9"/>
        <v/>
      </c>
      <c r="W62" s="51"/>
    </row>
    <row r="63">
      <c r="A63" s="59"/>
      <c r="B63" s="51"/>
      <c r="C63" s="51"/>
      <c r="D63" s="51"/>
      <c r="E63" s="51"/>
      <c r="F63" s="51"/>
      <c r="G63" s="51"/>
      <c r="H63" s="50" t="str">
        <f t="shared" si="1"/>
        <v/>
      </c>
      <c r="I63" s="51" t="str">
        <f t="shared" si="2"/>
        <v/>
      </c>
      <c r="J63" s="51" t="str">
        <f t="shared" si="3"/>
        <v/>
      </c>
      <c r="K63" s="58"/>
      <c r="L63" s="51" t="str">
        <f t="shared" si="4"/>
        <v/>
      </c>
      <c r="M63" s="51" t="str">
        <f t="shared" si="5"/>
        <v/>
      </c>
      <c r="N63" s="57"/>
      <c r="O63" s="51" t="str">
        <f t="shared" si="6"/>
        <v/>
      </c>
      <c r="P63" s="51" t="str">
        <f t="shared" si="7"/>
        <v/>
      </c>
      <c r="Q63" s="57"/>
      <c r="R63" s="51" t="str">
        <f t="shared" si="8"/>
        <v/>
      </c>
      <c r="S63" s="57"/>
      <c r="T63" s="54"/>
      <c r="U63" s="54" t="str">
        <f>IFERROR(__xludf.DUMMYFUNCTION("IF(A63="""","""",IF(AND(REGEXMATCH(T63,""Dimension Report""),REGEXMATCH(T63,""Chemical Analysis Report""),REGEXMATCH(T63,""Drawing Report""),REGEXMATCH(T63,""Costing Report"")),""Done"",""Not Done""))"),"")</f>
        <v/>
      </c>
      <c r="V63" s="56" t="str">
        <f t="shared" si="9"/>
        <v/>
      </c>
      <c r="W63" s="51"/>
    </row>
    <row r="64">
      <c r="A64" s="59"/>
      <c r="B64" s="51"/>
      <c r="C64" s="51"/>
      <c r="D64" s="51"/>
      <c r="E64" s="51"/>
      <c r="F64" s="51"/>
      <c r="G64" s="51"/>
      <c r="H64" s="50" t="str">
        <f t="shared" si="1"/>
        <v/>
      </c>
      <c r="I64" s="51" t="str">
        <f t="shared" si="2"/>
        <v/>
      </c>
      <c r="J64" s="51" t="str">
        <f t="shared" si="3"/>
        <v/>
      </c>
      <c r="K64" s="58"/>
      <c r="L64" s="51" t="str">
        <f t="shared" si="4"/>
        <v/>
      </c>
      <c r="M64" s="51" t="str">
        <f t="shared" si="5"/>
        <v/>
      </c>
      <c r="N64" s="57"/>
      <c r="O64" s="51" t="str">
        <f t="shared" si="6"/>
        <v/>
      </c>
      <c r="P64" s="51" t="str">
        <f t="shared" si="7"/>
        <v/>
      </c>
      <c r="Q64" s="57"/>
      <c r="R64" s="51" t="str">
        <f t="shared" si="8"/>
        <v/>
      </c>
      <c r="S64" s="57"/>
      <c r="T64" s="54"/>
      <c r="U64" s="54" t="str">
        <f>IFERROR(__xludf.DUMMYFUNCTION("IF(A64="""","""",IF(AND(REGEXMATCH(T64,""Dimension Report""),REGEXMATCH(T64,""Chemical Analysis Report""),REGEXMATCH(T64,""Drawing Report""),REGEXMATCH(T64,""Costing Report"")),""Done"",""Not Done""))"),"")</f>
        <v/>
      </c>
      <c r="V64" s="56" t="str">
        <f t="shared" si="9"/>
        <v/>
      </c>
      <c r="W64" s="51"/>
    </row>
    <row r="65">
      <c r="A65" s="59"/>
      <c r="B65" s="51"/>
      <c r="C65" s="51"/>
      <c r="D65" s="51"/>
      <c r="E65" s="51"/>
      <c r="F65" s="51"/>
      <c r="G65" s="51"/>
      <c r="H65" s="50" t="str">
        <f t="shared" si="1"/>
        <v/>
      </c>
      <c r="I65" s="51" t="str">
        <f t="shared" si="2"/>
        <v/>
      </c>
      <c r="J65" s="51" t="str">
        <f t="shared" si="3"/>
        <v/>
      </c>
      <c r="K65" s="58"/>
      <c r="L65" s="51" t="str">
        <f t="shared" si="4"/>
        <v/>
      </c>
      <c r="M65" s="51" t="str">
        <f t="shared" si="5"/>
        <v/>
      </c>
      <c r="N65" s="57"/>
      <c r="O65" s="51" t="str">
        <f t="shared" si="6"/>
        <v/>
      </c>
      <c r="P65" s="51" t="str">
        <f t="shared" si="7"/>
        <v/>
      </c>
      <c r="Q65" s="57"/>
      <c r="R65" s="51" t="str">
        <f t="shared" si="8"/>
        <v/>
      </c>
      <c r="S65" s="57"/>
      <c r="T65" s="54"/>
      <c r="U65" s="54" t="str">
        <f>IFERROR(__xludf.DUMMYFUNCTION("IF(A65="""","""",IF(AND(REGEXMATCH(T65,""Dimension Report""),REGEXMATCH(T65,""Chemical Analysis Report""),REGEXMATCH(T65,""Drawing Report""),REGEXMATCH(T65,""Costing Report"")),""Done"",""Not Done""))"),"")</f>
        <v/>
      </c>
      <c r="V65" s="56" t="str">
        <f t="shared" si="9"/>
        <v/>
      </c>
      <c r="W65" s="51"/>
    </row>
    <row r="66">
      <c r="A66" s="59"/>
      <c r="B66" s="51"/>
      <c r="C66" s="51"/>
      <c r="D66" s="51"/>
      <c r="E66" s="51"/>
      <c r="F66" s="51"/>
      <c r="G66" s="51"/>
      <c r="H66" s="50" t="str">
        <f t="shared" si="1"/>
        <v/>
      </c>
      <c r="I66" s="51" t="str">
        <f t="shared" si="2"/>
        <v/>
      </c>
      <c r="J66" s="51" t="str">
        <f t="shared" si="3"/>
        <v/>
      </c>
      <c r="K66" s="58"/>
      <c r="L66" s="51" t="str">
        <f t="shared" si="4"/>
        <v/>
      </c>
      <c r="M66" s="51" t="str">
        <f t="shared" si="5"/>
        <v/>
      </c>
      <c r="N66" s="57"/>
      <c r="O66" s="51" t="str">
        <f t="shared" si="6"/>
        <v/>
      </c>
      <c r="P66" s="51" t="str">
        <f t="shared" si="7"/>
        <v/>
      </c>
      <c r="Q66" s="57"/>
      <c r="R66" s="51" t="str">
        <f t="shared" si="8"/>
        <v/>
      </c>
      <c r="S66" s="57"/>
      <c r="T66" s="54"/>
      <c r="U66" s="54" t="str">
        <f>IFERROR(__xludf.DUMMYFUNCTION("IF(A66="""","""",IF(AND(REGEXMATCH(T66,""Dimension Report""),REGEXMATCH(T66,""Chemical Analysis Report""),REGEXMATCH(T66,""Drawing Report""),REGEXMATCH(T66,""Costing Report"")),""Done"",""Not Done""))"),"")</f>
        <v/>
      </c>
      <c r="V66" s="56" t="str">
        <f t="shared" si="9"/>
        <v/>
      </c>
      <c r="W66" s="51"/>
    </row>
    <row r="67">
      <c r="A67" s="59"/>
      <c r="B67" s="51"/>
      <c r="C67" s="51"/>
      <c r="D67" s="51"/>
      <c r="E67" s="51"/>
      <c r="F67" s="51"/>
      <c r="G67" s="51"/>
      <c r="H67" s="50" t="str">
        <f t="shared" si="1"/>
        <v/>
      </c>
      <c r="I67" s="51" t="str">
        <f t="shared" si="2"/>
        <v/>
      </c>
      <c r="J67" s="51" t="str">
        <f t="shared" si="3"/>
        <v/>
      </c>
      <c r="K67" s="58"/>
      <c r="L67" s="51" t="str">
        <f t="shared" si="4"/>
        <v/>
      </c>
      <c r="M67" s="51" t="str">
        <f t="shared" si="5"/>
        <v/>
      </c>
      <c r="N67" s="57"/>
      <c r="O67" s="51" t="str">
        <f t="shared" si="6"/>
        <v/>
      </c>
      <c r="P67" s="51" t="str">
        <f t="shared" si="7"/>
        <v/>
      </c>
      <c r="Q67" s="57"/>
      <c r="R67" s="51" t="str">
        <f t="shared" si="8"/>
        <v/>
      </c>
      <c r="S67" s="57"/>
      <c r="T67" s="54"/>
      <c r="U67" s="54" t="str">
        <f>IFERROR(__xludf.DUMMYFUNCTION("IF(A67="""","""",IF(AND(REGEXMATCH(T67,""Dimension Report""),REGEXMATCH(T67,""Chemical Analysis Report""),REGEXMATCH(T67,""Drawing Report""),REGEXMATCH(T67,""Costing Report"")),""Done"",""Not Done""))"),"")</f>
        <v/>
      </c>
      <c r="V67" s="56" t="str">
        <f t="shared" si="9"/>
        <v/>
      </c>
      <c r="W67" s="51"/>
    </row>
    <row r="68">
      <c r="A68" s="59"/>
      <c r="B68" s="51"/>
      <c r="C68" s="51"/>
      <c r="D68" s="51"/>
      <c r="E68" s="51"/>
      <c r="F68" s="51"/>
      <c r="G68" s="51"/>
      <c r="H68" s="50" t="str">
        <f t="shared" si="1"/>
        <v/>
      </c>
      <c r="I68" s="51" t="str">
        <f t="shared" si="2"/>
        <v/>
      </c>
      <c r="J68" s="51" t="str">
        <f t="shared" si="3"/>
        <v/>
      </c>
      <c r="K68" s="58"/>
      <c r="L68" s="51" t="str">
        <f t="shared" si="4"/>
        <v/>
      </c>
      <c r="M68" s="51" t="str">
        <f t="shared" si="5"/>
        <v/>
      </c>
      <c r="N68" s="57"/>
      <c r="O68" s="51" t="str">
        <f t="shared" si="6"/>
        <v/>
      </c>
      <c r="P68" s="51" t="str">
        <f t="shared" si="7"/>
        <v/>
      </c>
      <c r="Q68" s="57"/>
      <c r="R68" s="51" t="str">
        <f t="shared" si="8"/>
        <v/>
      </c>
      <c r="S68" s="57"/>
      <c r="T68" s="54"/>
      <c r="U68" s="54" t="str">
        <f>IFERROR(__xludf.DUMMYFUNCTION("IF(A68="""","""",IF(AND(REGEXMATCH(T68,""Dimension Report""),REGEXMATCH(T68,""Chemical Analysis Report""),REGEXMATCH(T68,""Drawing Report""),REGEXMATCH(T68,""Costing Report"")),""Done"",""Not Done""))"),"")</f>
        <v/>
      </c>
      <c r="V68" s="56" t="str">
        <f t="shared" si="9"/>
        <v/>
      </c>
      <c r="W68" s="51"/>
    </row>
    <row r="69">
      <c r="A69" s="59"/>
      <c r="B69" s="51"/>
      <c r="C69" s="51"/>
      <c r="D69" s="51"/>
      <c r="E69" s="51"/>
      <c r="F69" s="51"/>
      <c r="G69" s="51"/>
      <c r="H69" s="50" t="str">
        <f t="shared" si="1"/>
        <v/>
      </c>
      <c r="I69" s="51" t="str">
        <f t="shared" si="2"/>
        <v/>
      </c>
      <c r="J69" s="51" t="str">
        <f t="shared" si="3"/>
        <v/>
      </c>
      <c r="K69" s="58"/>
      <c r="L69" s="51" t="str">
        <f t="shared" si="4"/>
        <v/>
      </c>
      <c r="M69" s="51" t="str">
        <f t="shared" si="5"/>
        <v/>
      </c>
      <c r="N69" s="57"/>
      <c r="O69" s="51" t="str">
        <f t="shared" si="6"/>
        <v/>
      </c>
      <c r="P69" s="51" t="str">
        <f t="shared" si="7"/>
        <v/>
      </c>
      <c r="Q69" s="57"/>
      <c r="R69" s="51" t="str">
        <f t="shared" si="8"/>
        <v/>
      </c>
      <c r="S69" s="57"/>
      <c r="T69" s="54"/>
      <c r="U69" s="54" t="str">
        <f>IFERROR(__xludf.DUMMYFUNCTION("IF(A69="""","""",IF(AND(REGEXMATCH(T69,""Dimension Report""),REGEXMATCH(T69,""Chemical Analysis Report""),REGEXMATCH(T69,""Drawing Report""),REGEXMATCH(T69,""Costing Report"")),""Done"",""Not Done""))"),"")</f>
        <v/>
      </c>
      <c r="V69" s="56" t="str">
        <f t="shared" si="9"/>
        <v/>
      </c>
      <c r="W69" s="51"/>
    </row>
    <row r="70">
      <c r="A70" s="59"/>
      <c r="B70" s="51"/>
      <c r="C70" s="51"/>
      <c r="D70" s="51"/>
      <c r="E70" s="51"/>
      <c r="F70" s="51"/>
      <c r="G70" s="51"/>
      <c r="H70" s="50" t="str">
        <f t="shared" si="1"/>
        <v/>
      </c>
      <c r="I70" s="51" t="str">
        <f t="shared" si="2"/>
        <v/>
      </c>
      <c r="J70" s="51" t="str">
        <f t="shared" si="3"/>
        <v/>
      </c>
      <c r="K70" s="58"/>
      <c r="L70" s="51" t="str">
        <f t="shared" si="4"/>
        <v/>
      </c>
      <c r="M70" s="51" t="str">
        <f t="shared" si="5"/>
        <v/>
      </c>
      <c r="N70" s="57"/>
      <c r="O70" s="51" t="str">
        <f t="shared" si="6"/>
        <v/>
      </c>
      <c r="P70" s="51" t="str">
        <f t="shared" si="7"/>
        <v/>
      </c>
      <c r="Q70" s="57"/>
      <c r="R70" s="51" t="str">
        <f t="shared" si="8"/>
        <v/>
      </c>
      <c r="S70" s="57"/>
      <c r="T70" s="54"/>
      <c r="U70" s="54" t="str">
        <f>IFERROR(__xludf.DUMMYFUNCTION("IF(A70="""","""",IF(AND(REGEXMATCH(T70,""Dimension Report""),REGEXMATCH(T70,""Chemical Analysis Report""),REGEXMATCH(T70,""Drawing Report""),REGEXMATCH(T70,""Costing Report"")),""Done"",""Not Done""))"),"")</f>
        <v/>
      </c>
      <c r="V70" s="56" t="str">
        <f t="shared" si="9"/>
        <v/>
      </c>
      <c r="W70" s="51"/>
    </row>
    <row r="71">
      <c r="A71" s="59"/>
      <c r="B71" s="51"/>
      <c r="C71" s="51"/>
      <c r="D71" s="51"/>
      <c r="E71" s="51"/>
      <c r="F71" s="51"/>
      <c r="G71" s="51"/>
      <c r="H71" s="50" t="str">
        <f t="shared" si="1"/>
        <v/>
      </c>
      <c r="I71" s="51" t="str">
        <f t="shared" si="2"/>
        <v/>
      </c>
      <c r="J71" s="51" t="str">
        <f t="shared" si="3"/>
        <v/>
      </c>
      <c r="K71" s="58"/>
      <c r="L71" s="51" t="str">
        <f t="shared" si="4"/>
        <v/>
      </c>
      <c r="M71" s="51" t="str">
        <f t="shared" si="5"/>
        <v/>
      </c>
      <c r="N71" s="57"/>
      <c r="O71" s="51" t="str">
        <f t="shared" si="6"/>
        <v/>
      </c>
      <c r="P71" s="51" t="str">
        <f t="shared" si="7"/>
        <v/>
      </c>
      <c r="Q71" s="57"/>
      <c r="R71" s="51" t="str">
        <f t="shared" si="8"/>
        <v/>
      </c>
      <c r="S71" s="57"/>
      <c r="T71" s="54"/>
      <c r="U71" s="54" t="str">
        <f>IFERROR(__xludf.DUMMYFUNCTION("IF(A71="""","""",IF(AND(REGEXMATCH(T71,""Dimension Report""),REGEXMATCH(T71,""Chemical Analysis Report""),REGEXMATCH(T71,""Drawing Report""),REGEXMATCH(T71,""Costing Report"")),""Done"",""Not Done""))"),"")</f>
        <v/>
      </c>
      <c r="V71" s="56" t="str">
        <f t="shared" si="9"/>
        <v/>
      </c>
      <c r="W71" s="51"/>
    </row>
    <row r="72">
      <c r="A72" s="59"/>
      <c r="B72" s="51"/>
      <c r="C72" s="51"/>
      <c r="D72" s="51"/>
      <c r="E72" s="51"/>
      <c r="F72" s="51"/>
      <c r="G72" s="51"/>
      <c r="H72" s="50" t="str">
        <f t="shared" si="1"/>
        <v/>
      </c>
      <c r="I72" s="51" t="str">
        <f t="shared" si="2"/>
        <v/>
      </c>
      <c r="J72" s="51" t="str">
        <f t="shared" si="3"/>
        <v/>
      </c>
      <c r="K72" s="58"/>
      <c r="L72" s="51" t="str">
        <f t="shared" si="4"/>
        <v/>
      </c>
      <c r="M72" s="51" t="str">
        <f t="shared" si="5"/>
        <v/>
      </c>
      <c r="N72" s="57"/>
      <c r="O72" s="51" t="str">
        <f t="shared" si="6"/>
        <v/>
      </c>
      <c r="P72" s="51" t="str">
        <f t="shared" si="7"/>
        <v/>
      </c>
      <c r="Q72" s="57"/>
      <c r="R72" s="51" t="str">
        <f t="shared" si="8"/>
        <v/>
      </c>
      <c r="S72" s="57"/>
      <c r="T72" s="54"/>
      <c r="U72" s="54" t="str">
        <f>IFERROR(__xludf.DUMMYFUNCTION("IF(A72="""","""",IF(AND(REGEXMATCH(T72,""Dimension Report""),REGEXMATCH(T72,""Chemical Analysis Report""),REGEXMATCH(T72,""Drawing Report""),REGEXMATCH(T72,""Costing Report"")),""Done"",""Not Done""))"),"")</f>
        <v/>
      </c>
      <c r="V72" s="56" t="str">
        <f t="shared" si="9"/>
        <v/>
      </c>
      <c r="W72" s="51"/>
    </row>
    <row r="73">
      <c r="A73" s="59"/>
      <c r="B73" s="51"/>
      <c r="C73" s="51"/>
      <c r="D73" s="51"/>
      <c r="E73" s="51"/>
      <c r="F73" s="51"/>
      <c r="G73" s="51"/>
      <c r="H73" s="50" t="str">
        <f t="shared" si="1"/>
        <v/>
      </c>
      <c r="I73" s="51" t="str">
        <f t="shared" si="2"/>
        <v/>
      </c>
      <c r="J73" s="51" t="str">
        <f t="shared" si="3"/>
        <v/>
      </c>
      <c r="K73" s="58"/>
      <c r="L73" s="51" t="str">
        <f t="shared" si="4"/>
        <v/>
      </c>
      <c r="M73" s="51" t="str">
        <f t="shared" si="5"/>
        <v/>
      </c>
      <c r="N73" s="57"/>
      <c r="O73" s="51" t="str">
        <f t="shared" si="6"/>
        <v/>
      </c>
      <c r="P73" s="51" t="str">
        <f t="shared" si="7"/>
        <v/>
      </c>
      <c r="Q73" s="57"/>
      <c r="R73" s="51" t="str">
        <f t="shared" si="8"/>
        <v/>
      </c>
      <c r="S73" s="57"/>
      <c r="T73" s="54"/>
      <c r="U73" s="54" t="str">
        <f>IFERROR(__xludf.DUMMYFUNCTION("IF(A73="""","""",IF(AND(REGEXMATCH(T73,""Dimension Report""),REGEXMATCH(T73,""Chemical Analysis Report""),REGEXMATCH(T73,""Drawing Report""),REGEXMATCH(T73,""Costing Report"")),""Done"",""Not Done""))"),"")</f>
        <v/>
      </c>
      <c r="V73" s="56" t="str">
        <f t="shared" si="9"/>
        <v/>
      </c>
      <c r="W73" s="51"/>
    </row>
    <row r="74">
      <c r="A74" s="59"/>
      <c r="B74" s="51"/>
      <c r="C74" s="51"/>
      <c r="D74" s="51"/>
      <c r="E74" s="51"/>
      <c r="F74" s="51"/>
      <c r="G74" s="51"/>
      <c r="H74" s="50" t="str">
        <f t="shared" si="1"/>
        <v/>
      </c>
      <c r="I74" s="51" t="str">
        <f t="shared" si="2"/>
        <v/>
      </c>
      <c r="J74" s="51" t="str">
        <f t="shared" si="3"/>
        <v/>
      </c>
      <c r="K74" s="58"/>
      <c r="L74" s="51" t="str">
        <f t="shared" si="4"/>
        <v/>
      </c>
      <c r="M74" s="51" t="str">
        <f t="shared" si="5"/>
        <v/>
      </c>
      <c r="N74" s="57"/>
      <c r="O74" s="51" t="str">
        <f t="shared" si="6"/>
        <v/>
      </c>
      <c r="P74" s="51" t="str">
        <f t="shared" si="7"/>
        <v/>
      </c>
      <c r="Q74" s="57"/>
      <c r="R74" s="51" t="str">
        <f t="shared" si="8"/>
        <v/>
      </c>
      <c r="S74" s="57"/>
      <c r="T74" s="54"/>
      <c r="U74" s="54" t="str">
        <f>IFERROR(__xludf.DUMMYFUNCTION("IF(A74="""","""",IF(AND(REGEXMATCH(T74,""Dimension Report""),REGEXMATCH(T74,""Chemical Analysis Report""),REGEXMATCH(T74,""Drawing Report""),REGEXMATCH(T74,""Costing Report"")),""Done"",""Not Done""))"),"")</f>
        <v/>
      </c>
      <c r="V74" s="56" t="str">
        <f t="shared" si="9"/>
        <v/>
      </c>
      <c r="W74" s="51"/>
    </row>
    <row r="75">
      <c r="A75" s="59"/>
      <c r="B75" s="51"/>
      <c r="C75" s="51"/>
      <c r="D75" s="51"/>
      <c r="E75" s="51"/>
      <c r="F75" s="51"/>
      <c r="G75" s="51"/>
      <c r="H75" s="50" t="str">
        <f t="shared" si="1"/>
        <v/>
      </c>
      <c r="I75" s="51" t="str">
        <f t="shared" si="2"/>
        <v/>
      </c>
      <c r="J75" s="51" t="str">
        <f t="shared" si="3"/>
        <v/>
      </c>
      <c r="K75" s="58"/>
      <c r="L75" s="51" t="str">
        <f t="shared" si="4"/>
        <v/>
      </c>
      <c r="M75" s="51" t="str">
        <f t="shared" si="5"/>
        <v/>
      </c>
      <c r="N75" s="57"/>
      <c r="O75" s="51" t="str">
        <f t="shared" si="6"/>
        <v/>
      </c>
      <c r="P75" s="51" t="str">
        <f t="shared" si="7"/>
        <v/>
      </c>
      <c r="Q75" s="57"/>
      <c r="R75" s="51" t="str">
        <f t="shared" si="8"/>
        <v/>
      </c>
      <c r="S75" s="57"/>
      <c r="T75" s="54"/>
      <c r="U75" s="54" t="str">
        <f>IFERROR(__xludf.DUMMYFUNCTION("IF(A75="""","""",IF(AND(REGEXMATCH(T75,""Dimension Report""),REGEXMATCH(T75,""Chemical Analysis Report""),REGEXMATCH(T75,""Drawing Report""),REGEXMATCH(T75,""Costing Report"")),""Done"",""Not Done""))"),"")</f>
        <v/>
      </c>
      <c r="V75" s="56" t="str">
        <f t="shared" si="9"/>
        <v/>
      </c>
      <c r="W75" s="51"/>
    </row>
    <row r="76">
      <c r="A76" s="59"/>
      <c r="B76" s="51"/>
      <c r="C76" s="51"/>
      <c r="D76" s="51"/>
      <c r="E76" s="51"/>
      <c r="F76" s="51"/>
      <c r="G76" s="51"/>
      <c r="H76" s="50" t="str">
        <f t="shared" si="1"/>
        <v/>
      </c>
      <c r="I76" s="51" t="str">
        <f t="shared" si="2"/>
        <v/>
      </c>
      <c r="J76" s="51" t="str">
        <f t="shared" si="3"/>
        <v/>
      </c>
      <c r="K76" s="58"/>
      <c r="L76" s="51" t="str">
        <f t="shared" si="4"/>
        <v/>
      </c>
      <c r="M76" s="51" t="str">
        <f t="shared" si="5"/>
        <v/>
      </c>
      <c r="N76" s="57"/>
      <c r="O76" s="51" t="str">
        <f t="shared" si="6"/>
        <v/>
      </c>
      <c r="P76" s="51" t="str">
        <f t="shared" si="7"/>
        <v/>
      </c>
      <c r="Q76" s="57"/>
      <c r="R76" s="51" t="str">
        <f t="shared" si="8"/>
        <v/>
      </c>
      <c r="S76" s="57"/>
      <c r="T76" s="54"/>
      <c r="U76" s="54" t="str">
        <f>IFERROR(__xludf.DUMMYFUNCTION("IF(A76="""","""",IF(AND(REGEXMATCH(T76,""Dimension Report""),REGEXMATCH(T76,""Chemical Analysis Report""),REGEXMATCH(T76,""Drawing Report""),REGEXMATCH(T76,""Costing Report"")),""Done"",""Not Done""))"),"")</f>
        <v/>
      </c>
      <c r="V76" s="56" t="str">
        <f t="shared" si="9"/>
        <v/>
      </c>
      <c r="W76" s="51"/>
    </row>
    <row r="77">
      <c r="A77" s="59"/>
      <c r="B77" s="51"/>
      <c r="C77" s="51"/>
      <c r="D77" s="51"/>
      <c r="E77" s="51"/>
      <c r="F77" s="51"/>
      <c r="G77" s="51"/>
      <c r="H77" s="50" t="str">
        <f t="shared" si="1"/>
        <v/>
      </c>
      <c r="I77" s="51" t="str">
        <f t="shared" si="2"/>
        <v/>
      </c>
      <c r="J77" s="51" t="str">
        <f t="shared" si="3"/>
        <v/>
      </c>
      <c r="K77" s="58"/>
      <c r="L77" s="51" t="str">
        <f t="shared" si="4"/>
        <v/>
      </c>
      <c r="M77" s="51" t="str">
        <f t="shared" si="5"/>
        <v/>
      </c>
      <c r="N77" s="57"/>
      <c r="O77" s="51" t="str">
        <f t="shared" si="6"/>
        <v/>
      </c>
      <c r="P77" s="51" t="str">
        <f t="shared" si="7"/>
        <v/>
      </c>
      <c r="Q77" s="57"/>
      <c r="R77" s="51" t="str">
        <f t="shared" si="8"/>
        <v/>
      </c>
      <c r="S77" s="57"/>
      <c r="T77" s="54"/>
      <c r="U77" s="54" t="str">
        <f>IFERROR(__xludf.DUMMYFUNCTION("IF(A77="""","""",IF(AND(REGEXMATCH(T77,""Dimension Report""),REGEXMATCH(T77,""Chemical Analysis Report""),REGEXMATCH(T77,""Drawing Report""),REGEXMATCH(T77,""Costing Report"")),""Done"",""Not Done""))"),"")</f>
        <v/>
      </c>
      <c r="V77" s="56" t="str">
        <f t="shared" si="9"/>
        <v/>
      </c>
      <c r="W77" s="51"/>
    </row>
    <row r="78">
      <c r="A78" s="59"/>
      <c r="B78" s="51"/>
      <c r="C78" s="51"/>
      <c r="D78" s="51"/>
      <c r="E78" s="51"/>
      <c r="F78" s="51"/>
      <c r="G78" s="51"/>
      <c r="H78" s="50" t="str">
        <f t="shared" si="1"/>
        <v/>
      </c>
      <c r="I78" s="51" t="str">
        <f t="shared" si="2"/>
        <v/>
      </c>
      <c r="J78" s="51" t="str">
        <f t="shared" si="3"/>
        <v/>
      </c>
      <c r="K78" s="58"/>
      <c r="L78" s="51" t="str">
        <f t="shared" si="4"/>
        <v/>
      </c>
      <c r="M78" s="51" t="str">
        <f t="shared" si="5"/>
        <v/>
      </c>
      <c r="N78" s="57"/>
      <c r="O78" s="51" t="str">
        <f t="shared" si="6"/>
        <v/>
      </c>
      <c r="P78" s="51" t="str">
        <f t="shared" si="7"/>
        <v/>
      </c>
      <c r="Q78" s="57"/>
      <c r="R78" s="51" t="str">
        <f t="shared" si="8"/>
        <v/>
      </c>
      <c r="S78" s="57"/>
      <c r="T78" s="54"/>
      <c r="U78" s="54" t="str">
        <f>IFERROR(__xludf.DUMMYFUNCTION("IF(A78="""","""",IF(AND(REGEXMATCH(T78,""Dimension Report""),REGEXMATCH(T78,""Chemical Analysis Report""),REGEXMATCH(T78,""Drawing Report""),REGEXMATCH(T78,""Costing Report"")),""Done"",""Not Done""))"),"")</f>
        <v/>
      </c>
      <c r="V78" s="56" t="str">
        <f t="shared" si="9"/>
        <v/>
      </c>
      <c r="W78" s="51"/>
    </row>
    <row r="79">
      <c r="A79" s="59"/>
      <c r="B79" s="51"/>
      <c r="C79" s="51"/>
      <c r="D79" s="51"/>
      <c r="E79" s="51"/>
      <c r="F79" s="51"/>
      <c r="G79" s="51"/>
      <c r="H79" s="50" t="str">
        <f t="shared" si="1"/>
        <v/>
      </c>
      <c r="I79" s="51" t="str">
        <f t="shared" si="2"/>
        <v/>
      </c>
      <c r="J79" s="51" t="str">
        <f t="shared" si="3"/>
        <v/>
      </c>
      <c r="K79" s="58"/>
      <c r="L79" s="51" t="str">
        <f t="shared" si="4"/>
        <v/>
      </c>
      <c r="M79" s="51" t="str">
        <f t="shared" si="5"/>
        <v/>
      </c>
      <c r="N79" s="57"/>
      <c r="O79" s="51" t="str">
        <f t="shared" si="6"/>
        <v/>
      </c>
      <c r="P79" s="51" t="str">
        <f t="shared" si="7"/>
        <v/>
      </c>
      <c r="Q79" s="57"/>
      <c r="R79" s="51" t="str">
        <f t="shared" si="8"/>
        <v/>
      </c>
      <c r="S79" s="57"/>
      <c r="T79" s="54"/>
      <c r="U79" s="54" t="str">
        <f>IFERROR(__xludf.DUMMYFUNCTION("IF(A79="""","""",IF(AND(REGEXMATCH(T79,""Dimension Report""),REGEXMATCH(T79,""Chemical Analysis Report""),REGEXMATCH(T79,""Drawing Report""),REGEXMATCH(T79,""Costing Report"")),""Done"",""Not Done""))"),"")</f>
        <v/>
      </c>
      <c r="V79" s="56" t="str">
        <f t="shared" si="9"/>
        <v/>
      </c>
      <c r="W79" s="51"/>
    </row>
    <row r="80">
      <c r="A80" s="59"/>
      <c r="B80" s="51"/>
      <c r="C80" s="51"/>
      <c r="D80" s="51"/>
      <c r="E80" s="51"/>
      <c r="F80" s="51"/>
      <c r="G80" s="51"/>
      <c r="H80" s="50" t="str">
        <f t="shared" si="1"/>
        <v/>
      </c>
      <c r="I80" s="51" t="str">
        <f t="shared" si="2"/>
        <v/>
      </c>
      <c r="J80" s="51" t="str">
        <f t="shared" si="3"/>
        <v/>
      </c>
      <c r="K80" s="58"/>
      <c r="L80" s="51" t="str">
        <f t="shared" si="4"/>
        <v/>
      </c>
      <c r="M80" s="51" t="str">
        <f t="shared" si="5"/>
        <v/>
      </c>
      <c r="N80" s="57"/>
      <c r="O80" s="51" t="str">
        <f t="shared" si="6"/>
        <v/>
      </c>
      <c r="P80" s="51" t="str">
        <f t="shared" si="7"/>
        <v/>
      </c>
      <c r="Q80" s="57"/>
      <c r="R80" s="51" t="str">
        <f t="shared" si="8"/>
        <v/>
      </c>
      <c r="S80" s="57"/>
      <c r="T80" s="54"/>
      <c r="U80" s="54" t="str">
        <f>IFERROR(__xludf.DUMMYFUNCTION("IF(A80="""","""",IF(AND(REGEXMATCH(T80,""Dimension Report""),REGEXMATCH(T80,""Chemical Analysis Report""),REGEXMATCH(T80,""Drawing Report""),REGEXMATCH(T80,""Costing Report"")),""Done"",""Not Done""))"),"")</f>
        <v/>
      </c>
      <c r="V80" s="56" t="str">
        <f t="shared" si="9"/>
        <v/>
      </c>
      <c r="W80" s="51"/>
    </row>
    <row r="81">
      <c r="A81" s="59"/>
      <c r="B81" s="51"/>
      <c r="C81" s="51"/>
      <c r="D81" s="51"/>
      <c r="E81" s="51"/>
      <c r="F81" s="51"/>
      <c r="G81" s="51"/>
      <c r="H81" s="50" t="str">
        <f t="shared" si="1"/>
        <v/>
      </c>
      <c r="I81" s="51" t="str">
        <f t="shared" si="2"/>
        <v/>
      </c>
      <c r="J81" s="51" t="str">
        <f t="shared" si="3"/>
        <v/>
      </c>
      <c r="K81" s="58"/>
      <c r="L81" s="51" t="str">
        <f t="shared" si="4"/>
        <v/>
      </c>
      <c r="M81" s="51" t="str">
        <f t="shared" si="5"/>
        <v/>
      </c>
      <c r="N81" s="57"/>
      <c r="O81" s="51" t="str">
        <f t="shared" si="6"/>
        <v/>
      </c>
      <c r="P81" s="51" t="str">
        <f t="shared" si="7"/>
        <v/>
      </c>
      <c r="Q81" s="57"/>
      <c r="R81" s="51" t="str">
        <f t="shared" si="8"/>
        <v/>
      </c>
      <c r="S81" s="57"/>
      <c r="T81" s="54"/>
      <c r="U81" s="54" t="str">
        <f>IFERROR(__xludf.DUMMYFUNCTION("IF(A81="""","""",IF(AND(REGEXMATCH(T81,""Dimension Report""),REGEXMATCH(T81,""Chemical Analysis Report""),REGEXMATCH(T81,""Drawing Report""),REGEXMATCH(T81,""Costing Report"")),""Done"",""Not Done""))"),"")</f>
        <v/>
      </c>
      <c r="V81" s="56" t="str">
        <f t="shared" si="9"/>
        <v/>
      </c>
      <c r="W81" s="51"/>
    </row>
    <row r="82">
      <c r="A82" s="59"/>
      <c r="B82" s="51"/>
      <c r="C82" s="51"/>
      <c r="D82" s="51"/>
      <c r="E82" s="51"/>
      <c r="F82" s="51"/>
      <c r="G82" s="51"/>
      <c r="H82" s="50" t="str">
        <f t="shared" si="1"/>
        <v/>
      </c>
      <c r="I82" s="51" t="str">
        <f t="shared" si="2"/>
        <v/>
      </c>
      <c r="J82" s="51" t="str">
        <f t="shared" si="3"/>
        <v/>
      </c>
      <c r="K82" s="58"/>
      <c r="L82" s="51" t="str">
        <f t="shared" si="4"/>
        <v/>
      </c>
      <c r="M82" s="51" t="str">
        <f t="shared" si="5"/>
        <v/>
      </c>
      <c r="N82" s="57"/>
      <c r="O82" s="51" t="str">
        <f t="shared" si="6"/>
        <v/>
      </c>
      <c r="P82" s="51" t="str">
        <f t="shared" si="7"/>
        <v/>
      </c>
      <c r="Q82" s="57"/>
      <c r="R82" s="51" t="str">
        <f t="shared" si="8"/>
        <v/>
      </c>
      <c r="S82" s="57"/>
      <c r="T82" s="54"/>
      <c r="U82" s="54" t="str">
        <f>IFERROR(__xludf.DUMMYFUNCTION("IF(A82="""","""",IF(AND(REGEXMATCH(T82,""Dimension Report""),REGEXMATCH(T82,""Chemical Analysis Report""),REGEXMATCH(T82,""Drawing Report""),REGEXMATCH(T82,""Costing Report"")),""Done"",""Not Done""))"),"")</f>
        <v/>
      </c>
      <c r="V82" s="56" t="str">
        <f t="shared" si="9"/>
        <v/>
      </c>
      <c r="W82" s="51"/>
    </row>
    <row r="83">
      <c r="A83" s="59"/>
      <c r="B83" s="51"/>
      <c r="C83" s="51"/>
      <c r="D83" s="51"/>
      <c r="E83" s="51"/>
      <c r="F83" s="51"/>
      <c r="G83" s="51"/>
      <c r="H83" s="50" t="str">
        <f t="shared" si="1"/>
        <v/>
      </c>
      <c r="I83" s="51" t="str">
        <f t="shared" si="2"/>
        <v/>
      </c>
      <c r="J83" s="51" t="str">
        <f t="shared" si="3"/>
        <v/>
      </c>
      <c r="K83" s="58"/>
      <c r="L83" s="51" t="str">
        <f t="shared" si="4"/>
        <v/>
      </c>
      <c r="M83" s="51" t="str">
        <f t="shared" si="5"/>
        <v/>
      </c>
      <c r="N83" s="57"/>
      <c r="O83" s="51" t="str">
        <f t="shared" si="6"/>
        <v/>
      </c>
      <c r="P83" s="51" t="str">
        <f t="shared" si="7"/>
        <v/>
      </c>
      <c r="Q83" s="57"/>
      <c r="R83" s="51" t="str">
        <f t="shared" si="8"/>
        <v/>
      </c>
      <c r="S83" s="57"/>
      <c r="T83" s="54"/>
      <c r="U83" s="54" t="str">
        <f>IFERROR(__xludf.DUMMYFUNCTION("IF(A83="""","""",IF(AND(REGEXMATCH(T83,""Dimension Report""),REGEXMATCH(T83,""Chemical Analysis Report""),REGEXMATCH(T83,""Drawing Report""),REGEXMATCH(T83,""Costing Report"")),""Done"",""Not Done""))"),"")</f>
        <v/>
      </c>
      <c r="V83" s="56" t="str">
        <f t="shared" si="9"/>
        <v/>
      </c>
      <c r="W83" s="51"/>
    </row>
    <row r="84">
      <c r="A84" s="59"/>
      <c r="B84" s="51"/>
      <c r="C84" s="51"/>
      <c r="D84" s="51"/>
      <c r="E84" s="51"/>
      <c r="F84" s="51"/>
      <c r="G84" s="51"/>
      <c r="H84" s="50" t="str">
        <f t="shared" si="1"/>
        <v/>
      </c>
      <c r="I84" s="51" t="str">
        <f t="shared" si="2"/>
        <v/>
      </c>
      <c r="J84" s="51" t="str">
        <f t="shared" si="3"/>
        <v/>
      </c>
      <c r="K84" s="58"/>
      <c r="L84" s="51" t="str">
        <f t="shared" si="4"/>
        <v/>
      </c>
      <c r="M84" s="51" t="str">
        <f t="shared" si="5"/>
        <v/>
      </c>
      <c r="N84" s="57"/>
      <c r="O84" s="51" t="str">
        <f t="shared" si="6"/>
        <v/>
      </c>
      <c r="P84" s="51" t="str">
        <f t="shared" si="7"/>
        <v/>
      </c>
      <c r="Q84" s="57"/>
      <c r="R84" s="51" t="str">
        <f t="shared" si="8"/>
        <v/>
      </c>
      <c r="S84" s="57"/>
      <c r="T84" s="54"/>
      <c r="U84" s="54" t="str">
        <f>IFERROR(__xludf.DUMMYFUNCTION("IF(A84="""","""",IF(AND(REGEXMATCH(T84,""Dimension Report""),REGEXMATCH(T84,""Chemical Analysis Report""),REGEXMATCH(T84,""Drawing Report""),REGEXMATCH(T84,""Costing Report"")),""Done"",""Not Done""))"),"")</f>
        <v/>
      </c>
      <c r="V84" s="56" t="str">
        <f t="shared" si="9"/>
        <v/>
      </c>
      <c r="W84" s="51"/>
    </row>
    <row r="85">
      <c r="A85" s="59"/>
      <c r="B85" s="51"/>
      <c r="C85" s="51"/>
      <c r="D85" s="51"/>
      <c r="E85" s="51"/>
      <c r="F85" s="51"/>
      <c r="G85" s="51"/>
      <c r="H85" s="50" t="str">
        <f t="shared" si="1"/>
        <v/>
      </c>
      <c r="I85" s="51" t="str">
        <f t="shared" si="2"/>
        <v/>
      </c>
      <c r="J85" s="51" t="str">
        <f t="shared" si="3"/>
        <v/>
      </c>
      <c r="K85" s="58"/>
      <c r="L85" s="51" t="str">
        <f t="shared" si="4"/>
        <v/>
      </c>
      <c r="M85" s="51" t="str">
        <f t="shared" si="5"/>
        <v/>
      </c>
      <c r="N85" s="57"/>
      <c r="O85" s="51" t="str">
        <f t="shared" si="6"/>
        <v/>
      </c>
      <c r="P85" s="51" t="str">
        <f t="shared" si="7"/>
        <v/>
      </c>
      <c r="Q85" s="57"/>
      <c r="R85" s="51" t="str">
        <f t="shared" si="8"/>
        <v/>
      </c>
      <c r="S85" s="57"/>
      <c r="T85" s="54"/>
      <c r="U85" s="54" t="str">
        <f>IFERROR(__xludf.DUMMYFUNCTION("IF(A85="""","""",IF(AND(REGEXMATCH(T85,""Dimension Report""),REGEXMATCH(T85,""Chemical Analysis Report""),REGEXMATCH(T85,""Drawing Report""),REGEXMATCH(T85,""Costing Report"")),""Done"",""Not Done""))"),"")</f>
        <v/>
      </c>
      <c r="V85" s="56" t="str">
        <f t="shared" si="9"/>
        <v/>
      </c>
      <c r="W85" s="51"/>
    </row>
    <row r="86">
      <c r="A86" s="59"/>
      <c r="B86" s="51"/>
      <c r="C86" s="51"/>
      <c r="D86" s="51"/>
      <c r="E86" s="51"/>
      <c r="F86" s="51"/>
      <c r="G86" s="51"/>
      <c r="H86" s="50" t="str">
        <f t="shared" si="1"/>
        <v/>
      </c>
      <c r="I86" s="51" t="str">
        <f t="shared" si="2"/>
        <v/>
      </c>
      <c r="J86" s="51" t="str">
        <f t="shared" si="3"/>
        <v/>
      </c>
      <c r="K86" s="58"/>
      <c r="L86" s="51" t="str">
        <f t="shared" si="4"/>
        <v/>
      </c>
      <c r="M86" s="51" t="str">
        <f t="shared" si="5"/>
        <v/>
      </c>
      <c r="N86" s="57"/>
      <c r="O86" s="51" t="str">
        <f t="shared" si="6"/>
        <v/>
      </c>
      <c r="P86" s="51" t="str">
        <f t="shared" si="7"/>
        <v/>
      </c>
      <c r="Q86" s="57"/>
      <c r="R86" s="51" t="str">
        <f t="shared" si="8"/>
        <v/>
      </c>
      <c r="S86" s="57"/>
      <c r="T86" s="54"/>
      <c r="U86" s="54" t="str">
        <f>IFERROR(__xludf.DUMMYFUNCTION("IF(A86="""","""",IF(AND(REGEXMATCH(T86,""Dimension Report""),REGEXMATCH(T86,""Chemical Analysis Report""),REGEXMATCH(T86,""Drawing Report""),REGEXMATCH(T86,""Costing Report"")),""Done"",""Not Done""))"),"")</f>
        <v/>
      </c>
      <c r="V86" s="56" t="str">
        <f t="shared" si="9"/>
        <v/>
      </c>
      <c r="W86" s="51"/>
    </row>
    <row r="87">
      <c r="A87" s="59"/>
      <c r="B87" s="51"/>
      <c r="C87" s="51"/>
      <c r="D87" s="51"/>
      <c r="E87" s="51"/>
      <c r="F87" s="51"/>
      <c r="G87" s="51"/>
      <c r="H87" s="50" t="str">
        <f t="shared" si="1"/>
        <v/>
      </c>
      <c r="I87" s="51" t="str">
        <f t="shared" si="2"/>
        <v/>
      </c>
      <c r="J87" s="51" t="str">
        <f t="shared" si="3"/>
        <v/>
      </c>
      <c r="K87" s="58"/>
      <c r="L87" s="51" t="str">
        <f t="shared" si="4"/>
        <v/>
      </c>
      <c r="M87" s="51" t="str">
        <f t="shared" si="5"/>
        <v/>
      </c>
      <c r="N87" s="57"/>
      <c r="O87" s="51" t="str">
        <f t="shared" si="6"/>
        <v/>
      </c>
      <c r="P87" s="51" t="str">
        <f t="shared" si="7"/>
        <v/>
      </c>
      <c r="Q87" s="57"/>
      <c r="R87" s="51" t="str">
        <f t="shared" si="8"/>
        <v/>
      </c>
      <c r="S87" s="57"/>
      <c r="T87" s="54"/>
      <c r="U87" s="54" t="str">
        <f>IFERROR(__xludf.DUMMYFUNCTION("IF(A87="""","""",IF(AND(REGEXMATCH(T87,""Dimension Report""),REGEXMATCH(T87,""Chemical Analysis Report""),REGEXMATCH(T87,""Drawing Report""),REGEXMATCH(T87,""Costing Report"")),""Done"",""Not Done""))"),"")</f>
        <v/>
      </c>
      <c r="V87" s="56" t="str">
        <f t="shared" si="9"/>
        <v/>
      </c>
      <c r="W87" s="51"/>
    </row>
    <row r="88">
      <c r="A88" s="59"/>
      <c r="B88" s="51"/>
      <c r="C88" s="51"/>
      <c r="D88" s="51"/>
      <c r="E88" s="51"/>
      <c r="F88" s="51"/>
      <c r="G88" s="51"/>
      <c r="H88" s="50" t="str">
        <f t="shared" si="1"/>
        <v/>
      </c>
      <c r="I88" s="51" t="str">
        <f t="shared" si="2"/>
        <v/>
      </c>
      <c r="J88" s="51" t="str">
        <f t="shared" si="3"/>
        <v/>
      </c>
      <c r="K88" s="58"/>
      <c r="L88" s="51" t="str">
        <f t="shared" si="4"/>
        <v/>
      </c>
      <c r="M88" s="51" t="str">
        <f t="shared" si="5"/>
        <v/>
      </c>
      <c r="N88" s="57"/>
      <c r="O88" s="51" t="str">
        <f t="shared" si="6"/>
        <v/>
      </c>
      <c r="P88" s="51" t="str">
        <f t="shared" si="7"/>
        <v/>
      </c>
      <c r="Q88" s="57"/>
      <c r="R88" s="51" t="str">
        <f t="shared" si="8"/>
        <v/>
      </c>
      <c r="S88" s="57"/>
      <c r="T88" s="54"/>
      <c r="U88" s="54" t="str">
        <f>IFERROR(__xludf.DUMMYFUNCTION("IF(A88="""","""",IF(AND(REGEXMATCH(T88,""Dimension Report""),REGEXMATCH(T88,""Chemical Analysis Report""),REGEXMATCH(T88,""Drawing Report""),REGEXMATCH(T88,""Costing Report"")),""Done"",""Not Done""))"),"")</f>
        <v/>
      </c>
      <c r="V88" s="56" t="str">
        <f t="shared" si="9"/>
        <v/>
      </c>
      <c r="W88" s="51"/>
    </row>
    <row r="89">
      <c r="A89" s="59"/>
      <c r="B89" s="51"/>
      <c r="C89" s="51"/>
      <c r="D89" s="51"/>
      <c r="E89" s="51"/>
      <c r="F89" s="51"/>
      <c r="G89" s="51"/>
      <c r="H89" s="50" t="str">
        <f t="shared" si="1"/>
        <v/>
      </c>
      <c r="I89" s="51" t="str">
        <f t="shared" si="2"/>
        <v/>
      </c>
      <c r="J89" s="51" t="str">
        <f t="shared" si="3"/>
        <v/>
      </c>
      <c r="K89" s="58"/>
      <c r="L89" s="51" t="str">
        <f t="shared" si="4"/>
        <v/>
      </c>
      <c r="M89" s="51" t="str">
        <f t="shared" si="5"/>
        <v/>
      </c>
      <c r="N89" s="57"/>
      <c r="O89" s="51" t="str">
        <f t="shared" si="6"/>
        <v/>
      </c>
      <c r="P89" s="51" t="str">
        <f t="shared" si="7"/>
        <v/>
      </c>
      <c r="Q89" s="57"/>
      <c r="R89" s="51" t="str">
        <f t="shared" si="8"/>
        <v/>
      </c>
      <c r="S89" s="57"/>
      <c r="T89" s="54"/>
      <c r="U89" s="54" t="str">
        <f>IFERROR(__xludf.DUMMYFUNCTION("IF(A89="""","""",IF(AND(REGEXMATCH(T89,""Dimension Report""),REGEXMATCH(T89,""Chemical Analysis Report""),REGEXMATCH(T89,""Drawing Report""),REGEXMATCH(T89,""Costing Report"")),""Done"",""Not Done""))"),"")</f>
        <v/>
      </c>
      <c r="V89" s="56" t="str">
        <f t="shared" si="9"/>
        <v/>
      </c>
      <c r="W89" s="51"/>
    </row>
    <row r="90">
      <c r="A90" s="59"/>
      <c r="B90" s="51"/>
      <c r="C90" s="51"/>
      <c r="D90" s="51"/>
      <c r="E90" s="51"/>
      <c r="F90" s="51"/>
      <c r="G90" s="51"/>
      <c r="H90" s="50" t="str">
        <f t="shared" si="1"/>
        <v/>
      </c>
      <c r="I90" s="51" t="str">
        <f t="shared" si="2"/>
        <v/>
      </c>
      <c r="J90" s="51" t="str">
        <f t="shared" si="3"/>
        <v/>
      </c>
      <c r="K90" s="58"/>
      <c r="L90" s="51" t="str">
        <f t="shared" si="4"/>
        <v/>
      </c>
      <c r="M90" s="51" t="str">
        <f t="shared" si="5"/>
        <v/>
      </c>
      <c r="N90" s="57"/>
      <c r="O90" s="51" t="str">
        <f t="shared" si="6"/>
        <v/>
      </c>
      <c r="P90" s="51" t="str">
        <f t="shared" si="7"/>
        <v/>
      </c>
      <c r="Q90" s="57"/>
      <c r="R90" s="51" t="str">
        <f t="shared" si="8"/>
        <v/>
      </c>
      <c r="S90" s="57"/>
      <c r="T90" s="54"/>
      <c r="U90" s="54" t="str">
        <f>IFERROR(__xludf.DUMMYFUNCTION("IF(A90="""","""",IF(AND(REGEXMATCH(T90,""Dimension Report""),REGEXMATCH(T90,""Chemical Analysis Report""),REGEXMATCH(T90,""Drawing Report""),REGEXMATCH(T90,""Costing Report"")),""Done"",""Not Done""))"),"")</f>
        <v/>
      </c>
      <c r="V90" s="56" t="str">
        <f t="shared" si="9"/>
        <v/>
      </c>
      <c r="W90" s="51"/>
    </row>
    <row r="91">
      <c r="A91" s="59"/>
      <c r="B91" s="51"/>
      <c r="C91" s="51"/>
      <c r="D91" s="51"/>
      <c r="E91" s="51"/>
      <c r="F91" s="51"/>
      <c r="G91" s="51"/>
      <c r="H91" s="50" t="str">
        <f t="shared" si="1"/>
        <v/>
      </c>
      <c r="I91" s="51" t="str">
        <f t="shared" si="2"/>
        <v/>
      </c>
      <c r="J91" s="51" t="str">
        <f t="shared" si="3"/>
        <v/>
      </c>
      <c r="K91" s="58"/>
      <c r="L91" s="51" t="str">
        <f t="shared" si="4"/>
        <v/>
      </c>
      <c r="M91" s="51" t="str">
        <f t="shared" si="5"/>
        <v/>
      </c>
      <c r="N91" s="57"/>
      <c r="O91" s="51" t="str">
        <f t="shared" si="6"/>
        <v/>
      </c>
      <c r="P91" s="51" t="str">
        <f t="shared" si="7"/>
        <v/>
      </c>
      <c r="Q91" s="57"/>
      <c r="R91" s="51" t="str">
        <f t="shared" si="8"/>
        <v/>
      </c>
      <c r="S91" s="57"/>
      <c r="T91" s="54"/>
      <c r="U91" s="54" t="str">
        <f>IFERROR(__xludf.DUMMYFUNCTION("IF(A91="""","""",IF(AND(REGEXMATCH(T91,""Dimension Report""),REGEXMATCH(T91,""Chemical Analysis Report""),REGEXMATCH(T91,""Drawing Report""),REGEXMATCH(T91,""Costing Report"")),""Done"",""Not Done""))"),"")</f>
        <v/>
      </c>
      <c r="V91" s="56" t="str">
        <f t="shared" si="9"/>
        <v/>
      </c>
      <c r="W91" s="51"/>
    </row>
    <row r="92">
      <c r="A92" s="59"/>
      <c r="B92" s="51"/>
      <c r="C92" s="51"/>
      <c r="D92" s="51"/>
      <c r="E92" s="51"/>
      <c r="F92" s="51"/>
      <c r="G92" s="51"/>
      <c r="H92" s="50" t="str">
        <f t="shared" si="1"/>
        <v/>
      </c>
      <c r="I92" s="51" t="str">
        <f t="shared" si="2"/>
        <v/>
      </c>
      <c r="J92" s="51" t="str">
        <f t="shared" si="3"/>
        <v/>
      </c>
      <c r="K92" s="58"/>
      <c r="L92" s="51" t="str">
        <f t="shared" si="4"/>
        <v/>
      </c>
      <c r="M92" s="51" t="str">
        <f t="shared" si="5"/>
        <v/>
      </c>
      <c r="N92" s="57"/>
      <c r="O92" s="51" t="str">
        <f t="shared" si="6"/>
        <v/>
      </c>
      <c r="P92" s="51" t="str">
        <f t="shared" si="7"/>
        <v/>
      </c>
      <c r="Q92" s="57"/>
      <c r="R92" s="51" t="str">
        <f t="shared" si="8"/>
        <v/>
      </c>
      <c r="S92" s="57"/>
      <c r="T92" s="54"/>
      <c r="U92" s="54" t="str">
        <f>IFERROR(__xludf.DUMMYFUNCTION("IF(A92="""","""",IF(AND(REGEXMATCH(T92,""Dimension Report""),REGEXMATCH(T92,""Chemical Analysis Report""),REGEXMATCH(T92,""Drawing Report""),REGEXMATCH(T92,""Costing Report"")),""Done"",""Not Done""))"),"")</f>
        <v/>
      </c>
      <c r="V92" s="56" t="str">
        <f t="shared" si="9"/>
        <v/>
      </c>
      <c r="W92" s="51"/>
    </row>
    <row r="93">
      <c r="A93" s="59"/>
      <c r="B93" s="51"/>
      <c r="C93" s="51"/>
      <c r="D93" s="51"/>
      <c r="E93" s="51"/>
      <c r="F93" s="51"/>
      <c r="G93" s="51"/>
      <c r="H93" s="50" t="str">
        <f t="shared" si="1"/>
        <v/>
      </c>
      <c r="I93" s="51" t="str">
        <f t="shared" si="2"/>
        <v/>
      </c>
      <c r="J93" s="51" t="str">
        <f t="shared" si="3"/>
        <v/>
      </c>
      <c r="K93" s="58"/>
      <c r="L93" s="51" t="str">
        <f t="shared" si="4"/>
        <v/>
      </c>
      <c r="M93" s="51" t="str">
        <f t="shared" si="5"/>
        <v/>
      </c>
      <c r="N93" s="57"/>
      <c r="O93" s="51" t="str">
        <f t="shared" si="6"/>
        <v/>
      </c>
      <c r="P93" s="51" t="str">
        <f t="shared" si="7"/>
        <v/>
      </c>
      <c r="Q93" s="57"/>
      <c r="R93" s="51" t="str">
        <f t="shared" si="8"/>
        <v/>
      </c>
      <c r="S93" s="57"/>
      <c r="T93" s="54"/>
      <c r="U93" s="54" t="str">
        <f>IFERROR(__xludf.DUMMYFUNCTION("IF(A93="""","""",IF(AND(REGEXMATCH(T93,""Dimension Report""),REGEXMATCH(T93,""Chemical Analysis Report""),REGEXMATCH(T93,""Drawing Report""),REGEXMATCH(T93,""Costing Report"")),""Done"",""Not Done""))"),"")</f>
        <v/>
      </c>
      <c r="V93" s="56" t="str">
        <f t="shared" si="9"/>
        <v/>
      </c>
      <c r="W93" s="51"/>
    </row>
    <row r="94">
      <c r="A94" s="59"/>
      <c r="B94" s="51"/>
      <c r="C94" s="51"/>
      <c r="D94" s="51"/>
      <c r="E94" s="51"/>
      <c r="F94" s="51"/>
      <c r="G94" s="51"/>
      <c r="H94" s="50" t="str">
        <f t="shared" si="1"/>
        <v/>
      </c>
      <c r="I94" s="51" t="str">
        <f t="shared" si="2"/>
        <v/>
      </c>
      <c r="J94" s="51" t="str">
        <f t="shared" si="3"/>
        <v/>
      </c>
      <c r="K94" s="58"/>
      <c r="L94" s="51" t="str">
        <f t="shared" si="4"/>
        <v/>
      </c>
      <c r="M94" s="51" t="str">
        <f t="shared" si="5"/>
        <v/>
      </c>
      <c r="N94" s="57"/>
      <c r="O94" s="51" t="str">
        <f t="shared" si="6"/>
        <v/>
      </c>
      <c r="P94" s="51" t="str">
        <f t="shared" si="7"/>
        <v/>
      </c>
      <c r="Q94" s="57"/>
      <c r="R94" s="51" t="str">
        <f t="shared" si="8"/>
        <v/>
      </c>
      <c r="S94" s="57"/>
      <c r="T94" s="54"/>
      <c r="U94" s="54" t="str">
        <f>IFERROR(__xludf.DUMMYFUNCTION("IF(A94="""","""",IF(AND(REGEXMATCH(T94,""Dimension Report""),REGEXMATCH(T94,""Chemical Analysis Report""),REGEXMATCH(T94,""Drawing Report""),REGEXMATCH(T94,""Costing Report"")),""Done"",""Not Done""))"),"")</f>
        <v/>
      </c>
      <c r="V94" s="56" t="str">
        <f t="shared" si="9"/>
        <v/>
      </c>
      <c r="W94" s="51"/>
    </row>
    <row r="95">
      <c r="A95" s="59"/>
      <c r="B95" s="51"/>
      <c r="C95" s="51"/>
      <c r="D95" s="51"/>
      <c r="E95" s="51"/>
      <c r="F95" s="51"/>
      <c r="G95" s="51"/>
      <c r="H95" s="50" t="str">
        <f t="shared" si="1"/>
        <v/>
      </c>
      <c r="I95" s="51" t="str">
        <f t="shared" si="2"/>
        <v/>
      </c>
      <c r="J95" s="51" t="str">
        <f t="shared" si="3"/>
        <v/>
      </c>
      <c r="K95" s="58"/>
      <c r="L95" s="51" t="str">
        <f t="shared" si="4"/>
        <v/>
      </c>
      <c r="M95" s="51" t="str">
        <f t="shared" si="5"/>
        <v/>
      </c>
      <c r="N95" s="57"/>
      <c r="O95" s="51" t="str">
        <f t="shared" si="6"/>
        <v/>
      </c>
      <c r="P95" s="51" t="str">
        <f t="shared" si="7"/>
        <v/>
      </c>
      <c r="Q95" s="57"/>
      <c r="R95" s="51" t="str">
        <f t="shared" si="8"/>
        <v/>
      </c>
      <c r="S95" s="57"/>
      <c r="T95" s="54"/>
      <c r="U95" s="54" t="str">
        <f>IFERROR(__xludf.DUMMYFUNCTION("IF(A95="""","""",IF(AND(REGEXMATCH(T95,""Dimension Report""),REGEXMATCH(T95,""Chemical Analysis Report""),REGEXMATCH(T95,""Drawing Report""),REGEXMATCH(T95,""Costing Report"")),""Done"",""Not Done""))"),"")</f>
        <v/>
      </c>
      <c r="V95" s="56" t="str">
        <f t="shared" si="9"/>
        <v/>
      </c>
      <c r="W95" s="51"/>
    </row>
    <row r="96">
      <c r="A96" s="59"/>
      <c r="B96" s="51"/>
      <c r="C96" s="51"/>
      <c r="D96" s="51"/>
      <c r="E96" s="51"/>
      <c r="F96" s="51"/>
      <c r="G96" s="51"/>
      <c r="H96" s="50" t="str">
        <f t="shared" si="1"/>
        <v/>
      </c>
      <c r="I96" s="51" t="str">
        <f t="shared" si="2"/>
        <v/>
      </c>
      <c r="J96" s="51" t="str">
        <f t="shared" si="3"/>
        <v/>
      </c>
      <c r="K96" s="58"/>
      <c r="L96" s="51" t="str">
        <f t="shared" si="4"/>
        <v/>
      </c>
      <c r="M96" s="51" t="str">
        <f t="shared" si="5"/>
        <v/>
      </c>
      <c r="N96" s="57"/>
      <c r="O96" s="51" t="str">
        <f t="shared" si="6"/>
        <v/>
      </c>
      <c r="P96" s="51" t="str">
        <f t="shared" si="7"/>
        <v/>
      </c>
      <c r="Q96" s="57"/>
      <c r="R96" s="51" t="str">
        <f t="shared" si="8"/>
        <v/>
      </c>
      <c r="S96" s="57"/>
      <c r="T96" s="54"/>
      <c r="U96" s="54" t="str">
        <f>IFERROR(__xludf.DUMMYFUNCTION("IF(A96="""","""",IF(AND(REGEXMATCH(T96,""Dimension Report""),REGEXMATCH(T96,""Chemical Analysis Report""),REGEXMATCH(T96,""Drawing Report""),REGEXMATCH(T96,""Costing Report"")),""Done"",""Not Done""))"),"")</f>
        <v/>
      </c>
      <c r="V96" s="56" t="str">
        <f t="shared" si="9"/>
        <v/>
      </c>
      <c r="W96" s="51"/>
    </row>
    <row r="97">
      <c r="A97" s="59"/>
      <c r="B97" s="51"/>
      <c r="C97" s="51"/>
      <c r="D97" s="51"/>
      <c r="E97" s="51"/>
      <c r="F97" s="51"/>
      <c r="G97" s="51"/>
      <c r="H97" s="50" t="str">
        <f t="shared" si="1"/>
        <v/>
      </c>
      <c r="I97" s="51" t="str">
        <f t="shared" si="2"/>
        <v/>
      </c>
      <c r="J97" s="51" t="str">
        <f t="shared" si="3"/>
        <v/>
      </c>
      <c r="K97" s="58"/>
      <c r="L97" s="51" t="str">
        <f t="shared" si="4"/>
        <v/>
      </c>
      <c r="M97" s="51" t="str">
        <f t="shared" si="5"/>
        <v/>
      </c>
      <c r="N97" s="57"/>
      <c r="O97" s="51" t="str">
        <f t="shared" si="6"/>
        <v/>
      </c>
      <c r="P97" s="51" t="str">
        <f t="shared" si="7"/>
        <v/>
      </c>
      <c r="Q97" s="57"/>
      <c r="R97" s="51" t="str">
        <f t="shared" si="8"/>
        <v/>
      </c>
      <c r="S97" s="57"/>
      <c r="T97" s="54"/>
      <c r="U97" s="54" t="str">
        <f>IFERROR(__xludf.DUMMYFUNCTION("IF(A97="""","""",IF(AND(REGEXMATCH(T97,""Dimension Report""),REGEXMATCH(T97,""Chemical Analysis Report""),REGEXMATCH(T97,""Drawing Report""),REGEXMATCH(T97,""Costing Report"")),""Done"",""Not Done""))"),"")</f>
        <v/>
      </c>
      <c r="V97" s="56" t="str">
        <f t="shared" si="9"/>
        <v/>
      </c>
      <c r="W97" s="51"/>
    </row>
    <row r="98">
      <c r="A98" s="59"/>
      <c r="B98" s="51"/>
      <c r="C98" s="51"/>
      <c r="D98" s="51"/>
      <c r="E98" s="51"/>
      <c r="F98" s="51"/>
      <c r="G98" s="51"/>
      <c r="H98" s="50" t="str">
        <f t="shared" si="1"/>
        <v/>
      </c>
      <c r="I98" s="51" t="str">
        <f t="shared" si="2"/>
        <v/>
      </c>
      <c r="J98" s="51" t="str">
        <f t="shared" si="3"/>
        <v/>
      </c>
      <c r="K98" s="58"/>
      <c r="L98" s="51" t="str">
        <f t="shared" si="4"/>
        <v/>
      </c>
      <c r="M98" s="51" t="str">
        <f t="shared" si="5"/>
        <v/>
      </c>
      <c r="N98" s="57"/>
      <c r="O98" s="51" t="str">
        <f t="shared" si="6"/>
        <v/>
      </c>
      <c r="P98" s="51" t="str">
        <f t="shared" si="7"/>
        <v/>
      </c>
      <c r="Q98" s="57"/>
      <c r="R98" s="51" t="str">
        <f t="shared" si="8"/>
        <v/>
      </c>
      <c r="S98" s="57"/>
      <c r="T98" s="54"/>
      <c r="U98" s="54" t="str">
        <f>IFERROR(__xludf.DUMMYFUNCTION("IF(A98="""","""",IF(AND(REGEXMATCH(T98,""Dimension Report""),REGEXMATCH(T98,""Chemical Analysis Report""),REGEXMATCH(T98,""Drawing Report""),REGEXMATCH(T98,""Costing Report"")),""Done"",""Not Done""))"),"")</f>
        <v/>
      </c>
      <c r="V98" s="56" t="str">
        <f t="shared" si="9"/>
        <v/>
      </c>
      <c r="W98" s="51"/>
    </row>
    <row r="99">
      <c r="A99" s="59"/>
      <c r="B99" s="51"/>
      <c r="C99" s="51"/>
      <c r="D99" s="51"/>
      <c r="E99" s="51"/>
      <c r="F99" s="51"/>
      <c r="G99" s="51"/>
      <c r="H99" s="50" t="str">
        <f t="shared" si="1"/>
        <v/>
      </c>
      <c r="I99" s="51" t="str">
        <f t="shared" si="2"/>
        <v/>
      </c>
      <c r="J99" s="51" t="str">
        <f t="shared" si="3"/>
        <v/>
      </c>
      <c r="K99" s="58"/>
      <c r="L99" s="51" t="str">
        <f t="shared" si="4"/>
        <v/>
      </c>
      <c r="M99" s="51" t="str">
        <f t="shared" si="5"/>
        <v/>
      </c>
      <c r="N99" s="57"/>
      <c r="O99" s="51" t="str">
        <f t="shared" si="6"/>
        <v/>
      </c>
      <c r="P99" s="51" t="str">
        <f t="shared" si="7"/>
        <v/>
      </c>
      <c r="Q99" s="57"/>
      <c r="R99" s="51" t="str">
        <f t="shared" si="8"/>
        <v/>
      </c>
      <c r="S99" s="57"/>
      <c r="T99" s="54"/>
      <c r="U99" s="54" t="str">
        <f>IFERROR(__xludf.DUMMYFUNCTION("IF(A99="""","""",IF(AND(REGEXMATCH(T99,""Dimension Report""),REGEXMATCH(T99,""Chemical Analysis Report""),REGEXMATCH(T99,""Drawing Report""),REGEXMATCH(T99,""Costing Report"")),""Done"",""Not Done""))"),"")</f>
        <v/>
      </c>
      <c r="V99" s="56" t="str">
        <f t="shared" si="9"/>
        <v/>
      </c>
      <c r="W99" s="51"/>
    </row>
    <row r="100">
      <c r="A100" s="59"/>
      <c r="B100" s="51"/>
      <c r="C100" s="51"/>
      <c r="D100" s="51"/>
      <c r="E100" s="51"/>
      <c r="F100" s="51"/>
      <c r="G100" s="51"/>
      <c r="H100" s="50" t="str">
        <f t="shared" si="1"/>
        <v/>
      </c>
      <c r="I100" s="51" t="str">
        <f t="shared" si="2"/>
        <v/>
      </c>
      <c r="J100" s="51" t="str">
        <f t="shared" si="3"/>
        <v/>
      </c>
      <c r="K100" s="58"/>
      <c r="L100" s="51" t="str">
        <f t="shared" si="4"/>
        <v/>
      </c>
      <c r="M100" s="51" t="str">
        <f t="shared" si="5"/>
        <v/>
      </c>
      <c r="N100" s="57"/>
      <c r="O100" s="51" t="str">
        <f t="shared" si="6"/>
        <v/>
      </c>
      <c r="P100" s="51" t="str">
        <f t="shared" si="7"/>
        <v/>
      </c>
      <c r="Q100" s="57"/>
      <c r="R100" s="51" t="str">
        <f t="shared" si="8"/>
        <v/>
      </c>
      <c r="S100" s="57"/>
      <c r="T100" s="54"/>
      <c r="U100" s="54" t="str">
        <f>IFERROR(__xludf.DUMMYFUNCTION("IF(A100="""","""",IF(AND(REGEXMATCH(T100,""Dimension Report""),REGEXMATCH(T100,""Chemical Analysis Report""),REGEXMATCH(T100,""Drawing Report""),REGEXMATCH(T100,""Costing Report"")),""Done"",""Not Done""))"),"")</f>
        <v/>
      </c>
      <c r="V100" s="56" t="str">
        <f t="shared" si="9"/>
        <v/>
      </c>
      <c r="W100" s="51"/>
    </row>
    <row r="101">
      <c r="A101" s="59"/>
      <c r="B101" s="51"/>
      <c r="C101" s="51"/>
      <c r="D101" s="51"/>
      <c r="E101" s="51"/>
      <c r="F101" s="51"/>
      <c r="G101" s="51"/>
      <c r="H101" s="50" t="str">
        <f t="shared" si="1"/>
        <v/>
      </c>
      <c r="I101" s="51" t="str">
        <f t="shared" si="2"/>
        <v/>
      </c>
      <c r="J101" s="51" t="str">
        <f t="shared" si="3"/>
        <v/>
      </c>
      <c r="K101" s="58"/>
      <c r="L101" s="51" t="str">
        <f t="shared" si="4"/>
        <v/>
      </c>
      <c r="M101" s="51" t="str">
        <f t="shared" si="5"/>
        <v/>
      </c>
      <c r="N101" s="57"/>
      <c r="O101" s="51" t="str">
        <f t="shared" si="6"/>
        <v/>
      </c>
      <c r="P101" s="51" t="str">
        <f t="shared" si="7"/>
        <v/>
      </c>
      <c r="Q101" s="57"/>
      <c r="R101" s="51" t="str">
        <f t="shared" si="8"/>
        <v/>
      </c>
      <c r="S101" s="57"/>
      <c r="T101" s="54"/>
      <c r="U101" s="54" t="str">
        <f>IFERROR(__xludf.DUMMYFUNCTION("IF(A101="""","""",IF(AND(REGEXMATCH(T101,""Dimension Report""),REGEXMATCH(T101,""Chemical Analysis Report""),REGEXMATCH(T101,""Drawing Report""),REGEXMATCH(T101,""Costing Report"")),""Done"",""Not Done""))"),"")</f>
        <v/>
      </c>
      <c r="V101" s="56" t="str">
        <f t="shared" si="9"/>
        <v/>
      </c>
      <c r="W101" s="51"/>
    </row>
    <row r="102">
      <c r="A102" s="59"/>
      <c r="B102" s="51"/>
      <c r="C102" s="51"/>
      <c r="D102" s="51"/>
      <c r="E102" s="51"/>
      <c r="F102" s="51"/>
      <c r="G102" s="51"/>
      <c r="H102" s="50" t="str">
        <f t="shared" si="1"/>
        <v/>
      </c>
      <c r="I102" s="51" t="str">
        <f t="shared" si="2"/>
        <v/>
      </c>
      <c r="J102" s="51" t="str">
        <f t="shared" si="3"/>
        <v/>
      </c>
      <c r="K102" s="58"/>
      <c r="L102" s="51" t="str">
        <f t="shared" si="4"/>
        <v/>
      </c>
      <c r="M102" s="51" t="str">
        <f t="shared" si="5"/>
        <v/>
      </c>
      <c r="N102" s="57"/>
      <c r="O102" s="51" t="str">
        <f t="shared" si="6"/>
        <v/>
      </c>
      <c r="P102" s="51" t="str">
        <f t="shared" si="7"/>
        <v/>
      </c>
      <c r="Q102" s="57"/>
      <c r="R102" s="51" t="str">
        <f t="shared" si="8"/>
        <v/>
      </c>
      <c r="S102" s="57"/>
      <c r="T102" s="54"/>
      <c r="U102" s="54" t="str">
        <f>IFERROR(__xludf.DUMMYFUNCTION("IF(A102="""","""",IF(AND(REGEXMATCH(T102,""Dimension Report""),REGEXMATCH(T102,""Chemical Analysis Report""),REGEXMATCH(T102,""Drawing Report""),REGEXMATCH(T102,""Costing Report"")),""Done"",""Not Done""))"),"")</f>
        <v/>
      </c>
      <c r="V102" s="56" t="str">
        <f t="shared" si="9"/>
        <v/>
      </c>
      <c r="W102" s="51"/>
    </row>
    <row r="103">
      <c r="A103" s="59"/>
      <c r="B103" s="51"/>
      <c r="C103" s="51"/>
      <c r="D103" s="51"/>
      <c r="E103" s="51"/>
      <c r="F103" s="51"/>
      <c r="G103" s="51"/>
      <c r="H103" s="50" t="str">
        <f t="shared" si="1"/>
        <v/>
      </c>
      <c r="I103" s="51" t="str">
        <f t="shared" si="2"/>
        <v/>
      </c>
      <c r="J103" s="51" t="str">
        <f t="shared" si="3"/>
        <v/>
      </c>
      <c r="K103" s="58"/>
      <c r="L103" s="51" t="str">
        <f t="shared" si="4"/>
        <v/>
      </c>
      <c r="M103" s="51" t="str">
        <f t="shared" si="5"/>
        <v/>
      </c>
      <c r="N103" s="57"/>
      <c r="O103" s="51" t="str">
        <f t="shared" si="6"/>
        <v/>
      </c>
      <c r="P103" s="51" t="str">
        <f t="shared" si="7"/>
        <v/>
      </c>
      <c r="Q103" s="57"/>
      <c r="R103" s="51" t="str">
        <f t="shared" si="8"/>
        <v/>
      </c>
      <c r="S103" s="57"/>
      <c r="T103" s="54"/>
      <c r="U103" s="54" t="str">
        <f>IFERROR(__xludf.DUMMYFUNCTION("IF(A103="""","""",IF(AND(REGEXMATCH(T103,""Dimension Report""),REGEXMATCH(T103,""Chemical Analysis Report""),REGEXMATCH(T103,""Drawing Report""),REGEXMATCH(T103,""Costing Report"")),""Done"",""Not Done""))"),"")</f>
        <v/>
      </c>
      <c r="V103" s="56" t="str">
        <f t="shared" si="9"/>
        <v/>
      </c>
      <c r="W103" s="51"/>
    </row>
    <row r="104">
      <c r="A104" s="59"/>
      <c r="B104" s="51"/>
      <c r="C104" s="51"/>
      <c r="D104" s="51"/>
      <c r="E104" s="51"/>
      <c r="F104" s="51"/>
      <c r="G104" s="51"/>
      <c r="H104" s="50" t="str">
        <f t="shared" si="1"/>
        <v/>
      </c>
      <c r="I104" s="51" t="str">
        <f t="shared" si="2"/>
        <v/>
      </c>
      <c r="J104" s="51" t="str">
        <f t="shared" si="3"/>
        <v/>
      </c>
      <c r="K104" s="58"/>
      <c r="L104" s="51" t="str">
        <f t="shared" si="4"/>
        <v/>
      </c>
      <c r="M104" s="51" t="str">
        <f t="shared" si="5"/>
        <v/>
      </c>
      <c r="N104" s="57"/>
      <c r="O104" s="51" t="str">
        <f t="shared" si="6"/>
        <v/>
      </c>
      <c r="P104" s="51" t="str">
        <f t="shared" si="7"/>
        <v/>
      </c>
      <c r="Q104" s="57"/>
      <c r="R104" s="51" t="str">
        <f t="shared" si="8"/>
        <v/>
      </c>
      <c r="S104" s="57"/>
      <c r="T104" s="54"/>
      <c r="U104" s="54" t="str">
        <f>IFERROR(__xludf.DUMMYFUNCTION("IF(A104="""","""",IF(AND(REGEXMATCH(T104,""Dimension Report""),REGEXMATCH(T104,""Chemical Analysis Report""),REGEXMATCH(T104,""Drawing Report""),REGEXMATCH(T104,""Costing Report"")),""Done"",""Not Done""))"),"")</f>
        <v/>
      </c>
      <c r="V104" s="56" t="str">
        <f t="shared" si="9"/>
        <v/>
      </c>
      <c r="W104" s="51"/>
    </row>
    <row r="105">
      <c r="A105" s="59"/>
      <c r="B105" s="51"/>
      <c r="C105" s="51"/>
      <c r="D105" s="51"/>
      <c r="E105" s="51"/>
      <c r="F105" s="51"/>
      <c r="G105" s="51"/>
      <c r="H105" s="50" t="str">
        <f t="shared" si="1"/>
        <v/>
      </c>
      <c r="I105" s="51" t="str">
        <f t="shared" si="2"/>
        <v/>
      </c>
      <c r="J105" s="51" t="str">
        <f t="shared" si="3"/>
        <v/>
      </c>
      <c r="K105" s="58"/>
      <c r="L105" s="51" t="str">
        <f t="shared" si="4"/>
        <v/>
      </c>
      <c r="M105" s="51" t="str">
        <f t="shared" si="5"/>
        <v/>
      </c>
      <c r="N105" s="57"/>
      <c r="O105" s="51" t="str">
        <f t="shared" si="6"/>
        <v/>
      </c>
      <c r="P105" s="51" t="str">
        <f t="shared" si="7"/>
        <v/>
      </c>
      <c r="Q105" s="57"/>
      <c r="R105" s="51" t="str">
        <f t="shared" si="8"/>
        <v/>
      </c>
      <c r="S105" s="57"/>
      <c r="T105" s="54"/>
      <c r="U105" s="54" t="str">
        <f>IFERROR(__xludf.DUMMYFUNCTION("IF(A105="""","""",IF(AND(REGEXMATCH(T105,""Dimension Report""),REGEXMATCH(T105,""Chemical Analysis Report""),REGEXMATCH(T105,""Drawing Report""),REGEXMATCH(T105,""Costing Report"")),""Done"",""Not Done""))"),"")</f>
        <v/>
      </c>
      <c r="V105" s="56" t="str">
        <f t="shared" si="9"/>
        <v/>
      </c>
      <c r="W105" s="51"/>
    </row>
  </sheetData>
  <dataValidations>
    <dataValidation type="list" allowBlank="1" showErrorMessage="1" sqref="J6:J105 M6:M105 P6:P105">
      <formula1>"Undecided,Inhouse,Lab Testing Company List (to make),To Find,Others"</formula1>
    </dataValidation>
    <dataValidation type="list" allowBlank="1" showErrorMessage="1" sqref="I6:I105 L6:L105 O6:O105 R6:R105">
      <formula1>"Not Started,In Process,Need Info,Need Help,On Hold,Done"</formula1>
    </dataValidation>
    <dataValidation type="list" allowBlank="1" showErrorMessage="1" sqref="C6:C105">
      <formula1>"AYK Cabin,Display,Jayshree,Lab,Other"</formula1>
    </dataValidation>
    <dataValidation type="list" allowBlank="1" showErrorMessage="1" sqref="H6:H105">
      <formula1>"Received,To Process,In Process,Need Info,Need Help,On Hold,Processed"</formula1>
    </dataValidation>
  </dataValidations>
  <drawing r:id="rId1"/>
</worksheet>
</file>